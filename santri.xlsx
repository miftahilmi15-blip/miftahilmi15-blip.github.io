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20490" windowHeight="7365" activeTab="0"/>
  </bookViews>
  <sheets>
    <sheet name="DATA SISWA" sheetId="1" r:id="rId1"/>
  </sheets>
  <definedNames>
    <definedName name="_xlnm.Print_Area" localSheetId="0">'DATA SISWA'!$A$1:$F$41</definedName>
    <definedName name="_xlnm.Print_Are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<sst xmlns="http://schemas.openxmlformats.org/spreadsheetml/2006/main" uniqueCount="883" count="883">
  <si>
    <t>NO</t>
  </si>
  <si>
    <t>NAMA</t>
  </si>
  <si>
    <t>RH</t>
  </si>
  <si>
    <t>F1</t>
  </si>
  <si>
    <t>F2</t>
  </si>
  <si>
    <t>RF</t>
  </si>
  <si>
    <t>S1</t>
  </si>
  <si>
    <t>S2</t>
  </si>
  <si>
    <t>RS</t>
  </si>
  <si>
    <t>NAMA GURU</t>
  </si>
  <si>
    <t>MATA PELAJARAN</t>
  </si>
  <si>
    <t>KELAS</t>
  </si>
  <si>
    <t>DAFTAR PERSERTA DIDIK</t>
  </si>
  <si>
    <t>SMP AL-IRSYAD AL-ISLAMIYYAH KOTA CIREBON</t>
  </si>
  <si>
    <t>Kelas</t>
  </si>
  <si>
    <t>7A</t>
  </si>
  <si>
    <t>7B</t>
  </si>
  <si>
    <t>7C</t>
  </si>
  <si>
    <t>7D</t>
  </si>
  <si>
    <t>WALI KELAS</t>
  </si>
  <si>
    <t>PENDAMPING WALAS</t>
  </si>
  <si>
    <t>PEREMPUAN</t>
  </si>
  <si>
    <t>LAKI-LAKI</t>
  </si>
  <si>
    <t>JUMLAH</t>
  </si>
  <si>
    <t>NIPD</t>
  </si>
  <si>
    <t>NISN</t>
  </si>
  <si>
    <t>JK</t>
  </si>
  <si>
    <t>KET</t>
  </si>
  <si>
    <t>0106987636</t>
  </si>
  <si>
    <t>Aisyah Adji Ayu Wandira</t>
  </si>
  <si>
    <t>P</t>
  </si>
  <si>
    <t>0117387998</t>
  </si>
  <si>
    <t>Amelinda Almira Zahra</t>
  </si>
  <si>
    <t>0112460251</t>
  </si>
  <si>
    <t>Adyaraka Azka Wibowo</t>
  </si>
  <si>
    <t>L</t>
  </si>
  <si>
    <t>0118246285</t>
  </si>
  <si>
    <t>Adi Putra Hardigaluh</t>
  </si>
  <si>
    <t>0104987416</t>
  </si>
  <si>
    <t>Aliyah Mumtaz</t>
  </si>
  <si>
    <t>3118007722</t>
  </si>
  <si>
    <t>Aninda Salsabil Jannah</t>
  </si>
  <si>
    <t>0115137875</t>
  </si>
  <si>
    <t>Ahmad Yusuf Gunawan</t>
  </si>
  <si>
    <t>0111230154</t>
  </si>
  <si>
    <t>Affan Anhar Baihaky</t>
  </si>
  <si>
    <t>0111638641</t>
  </si>
  <si>
    <t>Anindia Putri Maritza</t>
  </si>
  <si>
    <t>0107299515</t>
  </si>
  <si>
    <t>Aulia Talitha Athaya</t>
  </si>
  <si>
    <t>0102502183</t>
  </si>
  <si>
    <t>Akbar Abigail Asmadiwangsa</t>
  </si>
  <si>
    <t>0113836900</t>
  </si>
  <si>
    <t>Amr</t>
  </si>
  <si>
    <t>0119984112</t>
  </si>
  <si>
    <t>Azzahra Muhammad Zimah</t>
  </si>
  <si>
    <t>0128919216</t>
  </si>
  <si>
    <t>Cherryl Vernita Putri</t>
  </si>
  <si>
    <t>0117549649</t>
  </si>
  <si>
    <t>Arfa Hakan Asydda</t>
  </si>
  <si>
    <t>0114158603</t>
  </si>
  <si>
    <t>Andhika Trystan Nararya</t>
  </si>
  <si>
    <t>Jumlah</t>
  </si>
  <si>
    <t>0112023989</t>
  </si>
  <si>
    <t>Callysta Marseille Riyadi</t>
  </si>
  <si>
    <t>0104476733</t>
  </si>
  <si>
    <t>Dara Ayu Ramadina</t>
  </si>
  <si>
    <t>0119659201</t>
  </si>
  <si>
    <t>Arya Dwi Syahputra</t>
  </si>
  <si>
    <t>0102598477</t>
  </si>
  <si>
    <t>Ayman Muhammad</t>
  </si>
  <si>
    <t>0119668601</t>
  </si>
  <si>
    <t>Diandra Paramitha Sudiono</t>
  </si>
  <si>
    <t>0104941754</t>
  </si>
  <si>
    <t>Dzakiyah Nur Hanifah</t>
  </si>
  <si>
    <t>0105545008</t>
  </si>
  <si>
    <t>Baihaqi Rizal Rifaldi</t>
  </si>
  <si>
    <t>0115767365</t>
  </si>
  <si>
    <t>Fa'Iz Zulfan Athallah</t>
  </si>
  <si>
    <t>0117467752</t>
  </si>
  <si>
    <t>Faradiba</t>
  </si>
  <si>
    <t>0115272274</t>
  </si>
  <si>
    <t>Faiza Mardhiyyah</t>
  </si>
  <si>
    <t>0107901664</t>
  </si>
  <si>
    <t>Bassam Solahudin</t>
  </si>
  <si>
    <t>0107578036</t>
  </si>
  <si>
    <t>Ghailan Kevan Dhiaurahman</t>
  </si>
  <si>
    <t>8A</t>
  </si>
  <si>
    <t>3105431479</t>
  </si>
  <si>
    <t>Freya Susana Adistira</t>
  </si>
  <si>
    <t>0116069833</t>
  </si>
  <si>
    <t>Hafizah Aidah Setiana</t>
  </si>
  <si>
    <t>0116317771</t>
  </si>
  <si>
    <t>Emir Sarif Achsan</t>
  </si>
  <si>
    <t>0107988849</t>
  </si>
  <si>
    <t>Hafiyyandika Ahnaf Putra</t>
  </si>
  <si>
    <t>8B</t>
  </si>
  <si>
    <t>0118942897</t>
  </si>
  <si>
    <t>Hafizah Nur Anisa</t>
  </si>
  <si>
    <t>0101297800</t>
  </si>
  <si>
    <t>Jessenia Meira Elzyra</t>
  </si>
  <si>
    <t>0117384967</t>
  </si>
  <si>
    <t>Fadhil Putra Abdi</t>
  </si>
  <si>
    <t>0114063711</t>
  </si>
  <si>
    <t>Kharel Breviandra Wirawiryawan</t>
  </si>
  <si>
    <t>8C</t>
  </si>
  <si>
    <t>0108834807</t>
  </si>
  <si>
    <t>Haifa Farhanah</t>
  </si>
  <si>
    <t>0114366817</t>
  </si>
  <si>
    <t>Kamila Hasanah Javda</t>
  </si>
  <si>
    <t>0116701504</t>
  </si>
  <si>
    <t>Faeyza Kaindra Ramadian</t>
  </si>
  <si>
    <t>0102313537</t>
  </si>
  <si>
    <t>Mirza Rizqi Pratama</t>
  </si>
  <si>
    <t>3110211653</t>
  </si>
  <si>
    <t>Jasmine Arda Ramadhani</t>
  </si>
  <si>
    <t>0115345580</t>
  </si>
  <si>
    <t>Kayla Adzkia Sasikirani</t>
  </si>
  <si>
    <t>0116203628</t>
  </si>
  <si>
    <t>Mochamad Rizky Fidel Purnama</t>
  </si>
  <si>
    <t>0105587027</t>
  </si>
  <si>
    <t>Kaisya Fathiyya Sabrina</t>
  </si>
  <si>
    <t>0118379763</t>
  </si>
  <si>
    <t>Maulidya Zidny Rachmany</t>
  </si>
  <si>
    <t>0111862955</t>
  </si>
  <si>
    <t>Hisyam Akhdan Assyafi</t>
  </si>
  <si>
    <t>0109237335</t>
  </si>
  <si>
    <t>Muchsin</t>
  </si>
  <si>
    <t>0109325677</t>
  </si>
  <si>
    <t>Kara Lintang Supriyadi</t>
  </si>
  <si>
    <t>0114767645</t>
  </si>
  <si>
    <t>Monica Sheffa Refasya</t>
  </si>
  <si>
    <t>0114016621</t>
  </si>
  <si>
    <t>Mario Muhammad Arthur</t>
  </si>
  <si>
    <t>0114638321</t>
  </si>
  <si>
    <t>Muhammad Dzaka Alif Al Abiyyu</t>
  </si>
  <si>
    <t>9A</t>
  </si>
  <si>
    <t>0113658929</t>
  </si>
  <si>
    <t>Kayla Laksmi</t>
  </si>
  <si>
    <t>0113812485</t>
  </si>
  <si>
    <t>Nadia Meitsania Sutanto</t>
  </si>
  <si>
    <t>0111840957</t>
  </si>
  <si>
    <t>Marvin Yusuf Fadhila</t>
  </si>
  <si>
    <t>0119487103</t>
  </si>
  <si>
    <t>Muhammad Fadlan Khaerul Azam</t>
  </si>
  <si>
    <t>9B</t>
  </si>
  <si>
    <t>0107519397</t>
  </si>
  <si>
    <t>Keisya Izzatunasyifa</t>
  </si>
  <si>
    <t>0118601742</t>
  </si>
  <si>
    <t>Nadjwa Azzahra</t>
  </si>
  <si>
    <t>0113107747</t>
  </si>
  <si>
    <t>Mhd Azzam Wafi Affandi</t>
  </si>
  <si>
    <t>0107741115</t>
  </si>
  <si>
    <t>Muhammad Kalih Sakha</t>
  </si>
  <si>
    <t>9C</t>
  </si>
  <si>
    <t>0115219176</t>
  </si>
  <si>
    <t>Khansa Nur Aini</t>
  </si>
  <si>
    <t>0117083868</t>
  </si>
  <si>
    <t>Naida Syakira Zaini</t>
  </si>
  <si>
    <t>3116420735</t>
  </si>
  <si>
    <t>Muhammad Yazid Ilmany Suhendar</t>
  </si>
  <si>
    <t>0115498922</t>
  </si>
  <si>
    <t>Raden Faiq Danadyaksa Ibrahim</t>
  </si>
  <si>
    <t>0112268566</t>
  </si>
  <si>
    <t>Khanza Aulia Risti</t>
  </si>
  <si>
    <t>0114209813</t>
  </si>
  <si>
    <t>Nariswari Ahnaf Fakhira</t>
  </si>
  <si>
    <t>0115170113</t>
  </si>
  <si>
    <t>Muhamad Abiyu Fahrezi</t>
  </si>
  <si>
    <t>0112871275</t>
  </si>
  <si>
    <t>Raikha Latief Wijaya</t>
  </si>
  <si>
    <t>0104353430</t>
  </si>
  <si>
    <t>Nadhifah</t>
  </si>
  <si>
    <t>0112082394</t>
  </si>
  <si>
    <t>Naufa Putri Nazhifah</t>
  </si>
  <si>
    <t>0101710956</t>
  </si>
  <si>
    <t>Muhammad Asyam Nadhif</t>
  </si>
  <si>
    <t>0101000407</t>
  </si>
  <si>
    <t>Regan Mirza</t>
  </si>
  <si>
    <t>TOTAL PD</t>
  </si>
  <si>
    <t>0119810969</t>
  </si>
  <si>
    <t>Najwa Caroline</t>
  </si>
  <si>
    <t>0115401168</t>
  </si>
  <si>
    <t>Nazira Riza Abdat</t>
  </si>
  <si>
    <t>0107946490</t>
  </si>
  <si>
    <t>0119955606</t>
  </si>
  <si>
    <t>Rey Rizqy A'Isy</t>
  </si>
  <si>
    <t>3115946605</t>
  </si>
  <si>
    <t>Naura Khairunnisa Azzahra</t>
  </si>
  <si>
    <t>0109989982</t>
  </si>
  <si>
    <t>Nida Ulhaq Nur Syifa</t>
  </si>
  <si>
    <t>3115912323</t>
  </si>
  <si>
    <t>Muhammad Ihsan</t>
  </si>
  <si>
    <t>0104650103</t>
  </si>
  <si>
    <t>Ridwan Ali</t>
  </si>
  <si>
    <t>0115152630</t>
  </si>
  <si>
    <t>Nizieta Azzahra Effendi</t>
  </si>
  <si>
    <t>0106994198</t>
  </si>
  <si>
    <t>Quinsha Jasmine Zahirah</t>
  </si>
  <si>
    <t>0116350890</t>
  </si>
  <si>
    <t>Muhammad Rafa Alfarizqi</t>
  </si>
  <si>
    <t>0113879205</t>
  </si>
  <si>
    <t>Rizky Azmi Nugraha</t>
  </si>
  <si>
    <t>0109732619</t>
  </si>
  <si>
    <t>Nizzah</t>
  </si>
  <si>
    <t>0112416502</t>
  </si>
  <si>
    <t>Reissya Nadhifa Nathania</t>
  </si>
  <si>
    <t>0119025047</t>
  </si>
  <si>
    <t>Muhammad Raffa Chaidar</t>
  </si>
  <si>
    <t>0113378022</t>
  </si>
  <si>
    <t>Sidqi</t>
  </si>
  <si>
    <t>3112208912</t>
  </si>
  <si>
    <t>Nurul Azijah</t>
  </si>
  <si>
    <t>0114576122</t>
  </si>
  <si>
    <t>Rumaisha Muhammad Baisa</t>
  </si>
  <si>
    <t>0105347200</t>
  </si>
  <si>
    <t>Muhammad Rauzan Fikri</t>
  </si>
  <si>
    <t>3100406379</t>
  </si>
  <si>
    <t>Zidan Abbie Rashya</t>
  </si>
  <si>
    <t>0118756106</t>
  </si>
  <si>
    <t>Putri Azzahra</t>
  </si>
  <si>
    <t>0101512094</t>
  </si>
  <si>
    <t>Salsabila Khansa Fitriani</t>
  </si>
  <si>
    <t>0108934052</t>
  </si>
  <si>
    <t>Muhammad Wildan</t>
  </si>
  <si>
    <t>0105477254</t>
  </si>
  <si>
    <t>Ratu Trie Agustina Rhamadani</t>
  </si>
  <si>
    <t>0113437391</t>
  </si>
  <si>
    <t>Tiara Nazmiraj Dziyana</t>
  </si>
  <si>
    <t>3117109896</t>
  </si>
  <si>
    <t>Naufal Mumtaz Adzzaky Irawan</t>
  </si>
  <si>
    <t>Syafiq Nawawi Al Maliki</t>
  </si>
  <si>
    <t>0112690157</t>
  </si>
  <si>
    <t>Rayna Nur Safitri</t>
  </si>
  <si>
    <t>0103509495</t>
  </si>
  <si>
    <t>Tya Dwi Alona</t>
  </si>
  <si>
    <t>0115246162</t>
  </si>
  <si>
    <t>Nizam Mudzaki Sofyan</t>
  </si>
  <si>
    <t>0108865622</t>
  </si>
  <si>
    <t>Rifdah</t>
  </si>
  <si>
    <t>0111626013</t>
  </si>
  <si>
    <t>Vadelya Nazifa Syahla</t>
  </si>
  <si>
    <t>0116146589</t>
  </si>
  <si>
    <t>Noya Naufal Fajlurahman</t>
  </si>
  <si>
    <t>Muhammad Althof</t>
  </si>
  <si>
    <t>0112849736</t>
  </si>
  <si>
    <t>Syifa Aulia</t>
  </si>
  <si>
    <t>0117158198</t>
  </si>
  <si>
    <t>Zivanna Salwa Az Zahirah</t>
  </si>
  <si>
    <t>0112063411</t>
  </si>
  <si>
    <t>Ramadhika Arsyad Naraya</t>
  </si>
  <si>
    <t/>
  </si>
  <si>
    <t>0116934159</t>
  </si>
  <si>
    <t>Tania Putri Anindya</t>
  </si>
  <si>
    <t>0105763846</t>
  </si>
  <si>
    <t>Rayyan Satrya Al Yusuf</t>
  </si>
  <si>
    <t>0116790791</t>
  </si>
  <si>
    <t>Tsauqifa Aisyah Noureen</t>
  </si>
  <si>
    <t>0129168549</t>
  </si>
  <si>
    <t>Rival Rizky Andrian</t>
  </si>
  <si>
    <t>0115957338</t>
  </si>
  <si>
    <t>Ziggy Farras Octovian</t>
  </si>
  <si>
    <t>Perempuan</t>
  </si>
  <si>
    <t>Laki-laki</t>
  </si>
  <si>
    <t>TOTAL</t>
  </si>
  <si>
    <t>DAFTAR NILAI</t>
  </si>
  <si>
    <t>Ket</t>
  </si>
  <si>
    <t>F3</t>
  </si>
  <si>
    <t>F4</t>
  </si>
  <si>
    <t>F5</t>
  </si>
  <si>
    <t>NILAI FORMATIF</t>
  </si>
  <si>
    <t>S3</t>
  </si>
  <si>
    <t>S4</t>
  </si>
  <si>
    <t>S5</t>
  </si>
  <si>
    <t>NILAI SUMATIF</t>
  </si>
  <si>
    <t>NILAI HARIAN</t>
  </si>
  <si>
    <t>1. Nilai Formatif : Nillai Proses selama pembelajaran</t>
  </si>
  <si>
    <t>2. Nilai Sumatif : Evaluasi Akhir Bab atau Ulangan</t>
  </si>
  <si>
    <t>3. Nilai Formatif dan Nilai Sumatif (Menyesuaikan berapa kali banyaknya dilakukan penilaian dalam 1 semester)</t>
  </si>
  <si>
    <t>1</t>
  </si>
  <si>
    <t>2</t>
  </si>
  <si>
    <t>3</t>
  </si>
  <si>
    <t>4</t>
  </si>
  <si>
    <r>
      <t>Tujuan Pembelajaran</t>
    </r>
    <r>
      <rPr>
        <sz val="11"/>
        <color rgb="FF000000"/>
        <rFont val="Cambria"/>
      </rPr>
      <t xml:space="preserve"> (Minimal 2 TP)</t>
    </r>
  </si>
  <si>
    <t>KKTP</t>
  </si>
  <si>
    <t>Kepala SMP Al-Irsyad Al-Islamiyyah</t>
  </si>
  <si>
    <t>0112583933</t>
  </si>
  <si>
    <t>TAHUN PELAJARAN 2025/2026</t>
  </si>
  <si>
    <t>Reguler</t>
  </si>
  <si>
    <t>Din Noer Siti Azizah, S.Pd</t>
  </si>
  <si>
    <t>252607001</t>
  </si>
  <si>
    <t xml:space="preserve">Adibah </t>
  </si>
  <si>
    <t>252607032</t>
  </si>
  <si>
    <t>Adisty Intan Farzana</t>
  </si>
  <si>
    <t>252607063</t>
  </si>
  <si>
    <t>Abdul Walid Akhirudin</t>
  </si>
  <si>
    <t>252607090</t>
  </si>
  <si>
    <t>Abdul Rasyid Muhammad Baisa</t>
  </si>
  <si>
    <t>Tahfuzh</t>
  </si>
  <si>
    <t>Ernawati, S.Ag., S.Pd</t>
  </si>
  <si>
    <t>252607002</t>
  </si>
  <si>
    <t>Adzkiyaa Ramiiza Putri</t>
  </si>
  <si>
    <t>252607033</t>
  </si>
  <si>
    <t>Aisha Hafizhah Fatin</t>
  </si>
  <si>
    <t>252607064</t>
  </si>
  <si>
    <t>Abdurrahman Sudaes Al Farih</t>
  </si>
  <si>
    <t>252607091</t>
  </si>
  <si>
    <t>Albirru Rano Ibrahim</t>
  </si>
  <si>
    <t>Nana Supriyatna, S.Pd</t>
  </si>
  <si>
    <t>252607003</t>
  </si>
  <si>
    <t>Aghna Imtiyaz Alifa</t>
  </si>
  <si>
    <t>252607034</t>
  </si>
  <si>
    <t>Aisha Mughny Shaliha</t>
  </si>
  <si>
    <t>252607065</t>
  </si>
  <si>
    <t>Adyasta Dityo Firzatullah</t>
  </si>
  <si>
    <t>252607092</t>
  </si>
  <si>
    <t>Arafat</t>
  </si>
  <si>
    <t>Hermalia, S.Pd</t>
  </si>
  <si>
    <t>252607004</t>
  </si>
  <si>
    <t>Ahlam</t>
  </si>
  <si>
    <t>252607035</t>
  </si>
  <si>
    <t xml:space="preserve">Alfathunissa Syalabiyyah Shanum </t>
  </si>
  <si>
    <t>252607066</t>
  </si>
  <si>
    <t>Alexander Rahmanov</t>
  </si>
  <si>
    <t>252607094</t>
  </si>
  <si>
    <t>Azka Nur Raditya</t>
  </si>
  <si>
    <t>252607005</t>
  </si>
  <si>
    <t xml:space="preserve">Alisha Rosmelia Nurfedisha </t>
  </si>
  <si>
    <t>252607036</t>
  </si>
  <si>
    <t xml:space="preserve">Alifia Salma Fakhira </t>
  </si>
  <si>
    <t>252607067</t>
  </si>
  <si>
    <t>Alif Rushan Abbasyof</t>
  </si>
  <si>
    <t>252607095</t>
  </si>
  <si>
    <t>Dimas Akhdan Sutanto</t>
  </si>
  <si>
    <t>252607006</t>
  </si>
  <si>
    <t>Alya Nuraini</t>
  </si>
  <si>
    <t>252607037</t>
  </si>
  <si>
    <t>Alya Talitha Athaya</t>
  </si>
  <si>
    <t>252607068</t>
  </si>
  <si>
    <t>Auda Malik Ibrahim</t>
  </si>
  <si>
    <t>252607096</t>
  </si>
  <si>
    <t>Elzo Haidar Arash</t>
  </si>
  <si>
    <t>252607008</t>
  </si>
  <si>
    <t>Amanda Hafiza Queenshania</t>
  </si>
  <si>
    <t>252607038</t>
  </si>
  <si>
    <t>Anisya Septunainti</t>
  </si>
  <si>
    <t>252607069</t>
  </si>
  <si>
    <t>Brata Tirta Winata</t>
  </si>
  <si>
    <t>252607097</t>
  </si>
  <si>
    <t>Faeyza Alvaro Nurfeto</t>
  </si>
  <si>
    <t>Nur Anisah</t>
  </si>
  <si>
    <t>252607009</t>
  </si>
  <si>
    <t xml:space="preserve">Amra Husen </t>
  </si>
  <si>
    <t>252607039</t>
  </si>
  <si>
    <t>Aulia Hasnaa Alesha</t>
  </si>
  <si>
    <t>252607070</t>
  </si>
  <si>
    <t>Daffa Abyan Rafif</t>
  </si>
  <si>
    <t>252607098</t>
  </si>
  <si>
    <t>Gibran Adhyasta Jandrya</t>
  </si>
  <si>
    <t>Ariyj, S.S.</t>
  </si>
  <si>
    <t>252607010</t>
  </si>
  <si>
    <t>Aninda Alfatunnisa</t>
  </si>
  <si>
    <t>252607040</t>
  </si>
  <si>
    <t>Aurora Khansa Aulia</t>
  </si>
  <si>
    <t>252607071</t>
  </si>
  <si>
    <t xml:space="preserve">Darrel Haidar Alzam </t>
  </si>
  <si>
    <t>252607099</t>
  </si>
  <si>
    <t>Ibrahim Nur Habibi</t>
  </si>
  <si>
    <t>Koko Adji Purnomo, S.Pd.</t>
  </si>
  <si>
    <t>252607011</t>
  </si>
  <si>
    <t>Assyifa Kamila Dayta</t>
  </si>
  <si>
    <t>252607041</t>
  </si>
  <si>
    <t>Azka Humayra Firzanah</t>
  </si>
  <si>
    <t>252607072</t>
  </si>
  <si>
    <t>Ihsan Nurfaisal</t>
  </si>
  <si>
    <t>252607100</t>
  </si>
  <si>
    <t>Jabbar Putra Sugiyantoro</t>
  </si>
  <si>
    <t>8D</t>
  </si>
  <si>
    <t>Habib Sultan Maulana, S.Pd</t>
  </si>
  <si>
    <t>252607012</t>
  </si>
  <si>
    <t>Calysta Zafirah Azka</t>
  </si>
  <si>
    <t>252607042</t>
  </si>
  <si>
    <t xml:space="preserve">Azkia Nazwa Fadhilah </t>
  </si>
  <si>
    <t>252607073</t>
  </si>
  <si>
    <t xml:space="preserve">Mohammad Panji Kusumah Hidayatullah </t>
  </si>
  <si>
    <t>252607101</t>
  </si>
  <si>
    <t>Leeandry Septiar</t>
  </si>
  <si>
    <t>252607013</t>
  </si>
  <si>
    <t>Devia Almaqfericha Rahmawati</t>
  </si>
  <si>
    <t>252607043</t>
  </si>
  <si>
    <t xml:space="preserve">Balqis </t>
  </si>
  <si>
    <t>252607074</t>
  </si>
  <si>
    <t>Muhammad Devan Adixxie</t>
  </si>
  <si>
    <t>252607102</t>
  </si>
  <si>
    <t>Madu Seno</t>
  </si>
  <si>
    <t>252607014</t>
  </si>
  <si>
    <t>Fani Aziza Rahman</t>
  </si>
  <si>
    <t>252607044</t>
  </si>
  <si>
    <t>Deajeng Ayu Nawang Wulan</t>
  </si>
  <si>
    <t>252607076</t>
  </si>
  <si>
    <t>Muhammad Fathan Ibnu Salman</t>
  </si>
  <si>
    <t>252607103</t>
  </si>
  <si>
    <t>Moh Faqih Hidayatullah</t>
  </si>
  <si>
    <t>252607015</t>
  </si>
  <si>
    <t>Fayza Aqila Khanza</t>
  </si>
  <si>
    <t>252607045</t>
  </si>
  <si>
    <t>Gelsy Adiva Nayra Achmad</t>
  </si>
  <si>
    <t>252607077</t>
  </si>
  <si>
    <t>Muhammad Hasan Al Mahdi</t>
  </si>
  <si>
    <t>252607104</t>
  </si>
  <si>
    <t>Muhammad Faiz Akbar</t>
  </si>
  <si>
    <t>Yulis Savina, S.Pd.</t>
  </si>
  <si>
    <t>252607016</t>
  </si>
  <si>
    <t xml:space="preserve">Felicia Salsabila </t>
  </si>
  <si>
    <t>252607046</t>
  </si>
  <si>
    <t>Hilwa Ramzi Assaidi</t>
  </si>
  <si>
    <t>252607078</t>
  </si>
  <si>
    <t>Muhammad Hilmi Azizan</t>
  </si>
  <si>
    <t>252607105</t>
  </si>
  <si>
    <t>Muhammad Hafiz Rusyaidi</t>
  </si>
  <si>
    <t>Najiyyatun Nuhyah, S.Sos</t>
  </si>
  <si>
    <t>252607017</t>
  </si>
  <si>
    <t>Ghaziyah Alzeina Kurniadi</t>
  </si>
  <si>
    <t>252607047</t>
  </si>
  <si>
    <t>Khayla Almeera Yudha Maritza</t>
  </si>
  <si>
    <t>252607079</t>
  </si>
  <si>
    <t xml:space="preserve">Muhammad Jami Azfar Rayyan </t>
  </si>
  <si>
    <t>252607106</t>
  </si>
  <si>
    <t>Muhammad Khiar Musyafa</t>
  </si>
  <si>
    <t>Ade Fatkhurrokhman,S.Pd</t>
  </si>
  <si>
    <t>252607018</t>
  </si>
  <si>
    <t>Hadijah Khairunnisa</t>
  </si>
  <si>
    <t>252607048</t>
  </si>
  <si>
    <t>Laneesha Shafa Saziah</t>
  </si>
  <si>
    <t>252607080</t>
  </si>
  <si>
    <t>Muhammad Nafis Nafasat</t>
  </si>
  <si>
    <t>252607107</t>
  </si>
  <si>
    <t xml:space="preserve">Muhammad Rifid Nadhif </t>
  </si>
  <si>
    <t>9D</t>
  </si>
  <si>
    <t>Nur Muhammad Iskandar, S.S.I, M.Pd</t>
  </si>
  <si>
    <t>252607019</t>
  </si>
  <si>
    <t>Hasnaa' Firyaal</t>
  </si>
  <si>
    <t>252607049</t>
  </si>
  <si>
    <t>Larissa Mahdatifa</t>
  </si>
  <si>
    <t>252607081</t>
  </si>
  <si>
    <t>Muhammad Raihan El Azzam</t>
  </si>
  <si>
    <t>252607108</t>
  </si>
  <si>
    <t>Muhammad Rizqi</t>
  </si>
  <si>
    <t>252607020</t>
  </si>
  <si>
    <t>Jasmine Putri Aisyah</t>
  </si>
  <si>
    <t>252607050</t>
  </si>
  <si>
    <t>Nabila Khairunnisa Salima</t>
  </si>
  <si>
    <t>252607082</t>
  </si>
  <si>
    <t>Raditya Alaric Nurfattah</t>
  </si>
  <si>
    <t>252607109</t>
  </si>
  <si>
    <t xml:space="preserve">Parvez Kresna Andhika </t>
  </si>
  <si>
    <t>252607021</t>
  </si>
  <si>
    <t>Khairunnisa Qutratu'Ain</t>
  </si>
  <si>
    <t>252607051</t>
  </si>
  <si>
    <t>Naila Husna</t>
  </si>
  <si>
    <t>252607084</t>
  </si>
  <si>
    <t>Rafi Faaris Ristanto</t>
  </si>
  <si>
    <t>252607110</t>
  </si>
  <si>
    <t>Rafif Azzam Assyafi</t>
  </si>
  <si>
    <t>252607022</t>
  </si>
  <si>
    <t>Kinanthi Amira Priambodo</t>
  </si>
  <si>
    <t>252607052</t>
  </si>
  <si>
    <t>Nasya Kieran Adzkiya</t>
  </si>
  <si>
    <t>252607085</t>
  </si>
  <si>
    <t xml:space="preserve">Ramadhan Ilham Nasrullah </t>
  </si>
  <si>
    <t>252607111</t>
  </si>
  <si>
    <t>Rassya Muhammad Aqila</t>
  </si>
  <si>
    <t>252607023</t>
  </si>
  <si>
    <t>Malaeka Falilah</t>
  </si>
  <si>
    <t>252607053</t>
  </si>
  <si>
    <t>Naurah</t>
  </si>
  <si>
    <t>252607087</t>
  </si>
  <si>
    <t>Tegar Aditya</t>
  </si>
  <si>
    <t>252607112</t>
  </si>
  <si>
    <t>Rifky Ikhsan Ramadhan</t>
  </si>
  <si>
    <t>252607024</t>
  </si>
  <si>
    <t>Marwah Maharani</t>
  </si>
  <si>
    <t>252607054</t>
  </si>
  <si>
    <t>Nuansa Ameera Aji</t>
  </si>
  <si>
    <t>252607088</t>
  </si>
  <si>
    <t>Uwais Zamiota Yusup</t>
  </si>
  <si>
    <t>252607113</t>
  </si>
  <si>
    <t>Sean Paundra Putrakiyan</t>
  </si>
  <si>
    <t>252607025</t>
  </si>
  <si>
    <t>Nadia Salsabila</t>
  </si>
  <si>
    <t>252607055</t>
  </si>
  <si>
    <t xml:space="preserve">Quinsha Hazna Camila </t>
  </si>
  <si>
    <t>252607089</t>
  </si>
  <si>
    <t>Wiky Lubada Pratama</t>
  </si>
  <si>
    <t>252607114</t>
  </si>
  <si>
    <t>Syafiq Fadhil Akhtar</t>
  </si>
  <si>
    <t>252607026</t>
  </si>
  <si>
    <t>Nashwa Fadya Izzati Syakira</t>
  </si>
  <si>
    <t>252607056</t>
  </si>
  <si>
    <t>Raisa Syakila Cherisaputri</t>
  </si>
  <si>
    <t>252607118</t>
  </si>
  <si>
    <t>Moch Raffa Yohandri</t>
  </si>
  <si>
    <t>252607115</t>
  </si>
  <si>
    <t>Yaseer Akbar Arifin</t>
  </si>
  <si>
    <t>252607027</t>
  </si>
  <si>
    <t>Putri Shayla Azzahra</t>
  </si>
  <si>
    <t>252607057</t>
  </si>
  <si>
    <t xml:space="preserve">Ratu Balqis Al Humaira </t>
  </si>
  <si>
    <t>252607121</t>
  </si>
  <si>
    <t>Yopi Dwi Kurniawan</t>
  </si>
  <si>
    <t>252607116</t>
  </si>
  <si>
    <t>Yudha Dwi Pangestu</t>
  </si>
  <si>
    <t>252607028</t>
  </si>
  <si>
    <t>Raissa Salsabila Adzkiya</t>
  </si>
  <si>
    <t>252607058</t>
  </si>
  <si>
    <t xml:space="preserve">Rufaida Sugito </t>
  </si>
  <si>
    <t>252607029</t>
  </si>
  <si>
    <t xml:space="preserve">Syakira Raihanah Humaira </t>
  </si>
  <si>
    <t>252607059</t>
  </si>
  <si>
    <t>Shanum Radinka Cassidy</t>
  </si>
  <si>
    <t>Siti Hamidah, M.Pd</t>
  </si>
  <si>
    <t>252607030</t>
  </si>
  <si>
    <t>Xena Nathiq Putri Agung</t>
  </si>
  <si>
    <t>252607060</t>
  </si>
  <si>
    <t>Tantika Putri Hermawan</t>
  </si>
  <si>
    <t>NIK.-</t>
  </si>
  <si>
    <t>252607031</t>
  </si>
  <si>
    <t>Yasmin Rahman Widiasyakira</t>
  </si>
  <si>
    <t>252607061</t>
  </si>
  <si>
    <t>Vladislav Nava Syahla</t>
  </si>
  <si>
    <t>252607119</t>
  </si>
  <si>
    <t>Annisa Naura Salsabilla Hakim</t>
  </si>
  <si>
    <t>252607062</t>
  </si>
  <si>
    <t>Zahrana Fatimah</t>
  </si>
  <si>
    <t>Electra Artha Mecca</t>
  </si>
  <si>
    <t>Naziihah Attamimi</t>
  </si>
  <si>
    <t>0126981874</t>
  </si>
  <si>
    <t>Aina Farah Aulia</t>
  </si>
  <si>
    <t>0127011311</t>
  </si>
  <si>
    <t>A'Eni Zafina Aaleyah</t>
  </si>
  <si>
    <t>0125376968</t>
  </si>
  <si>
    <t>Abdullah Alfariski</t>
  </si>
  <si>
    <t>3132759491</t>
  </si>
  <si>
    <t>Abdullah</t>
  </si>
  <si>
    <t>3129493350</t>
  </si>
  <si>
    <t>Aisyara Miranda Kristiono</t>
  </si>
  <si>
    <t>0122076364</t>
  </si>
  <si>
    <t>Afiqa Salsabila Kadarusman</t>
  </si>
  <si>
    <t>3121890083</t>
  </si>
  <si>
    <t>Abimanyu Putra</t>
  </si>
  <si>
    <t>0124684793</t>
  </si>
  <si>
    <t>Ahmad Fauzan Rajab</t>
  </si>
  <si>
    <t>3112931902</t>
  </si>
  <si>
    <t>Aliyah Khoirunisa</t>
  </si>
  <si>
    <t>0118516379</t>
  </si>
  <si>
    <t>Aisyah Shafa Camilla Ansori</t>
  </si>
  <si>
    <t>3126017979</t>
  </si>
  <si>
    <t>Achmad Andre Arsavin</t>
  </si>
  <si>
    <t>0124041127</t>
  </si>
  <si>
    <t>Azra Muhammad Zahwan</t>
  </si>
  <si>
    <t>0122340484</t>
  </si>
  <si>
    <t>Aretha Rayya Sabrina Maulana</t>
  </si>
  <si>
    <t>0116789423</t>
  </si>
  <si>
    <t>Anggraeni Putri</t>
  </si>
  <si>
    <t>0112665016</t>
  </si>
  <si>
    <t>Aldo Alfarizqi Fadhillah</t>
  </si>
  <si>
    <t>0126828846</t>
  </si>
  <si>
    <t>Daffa Azmi Khairan</t>
  </si>
  <si>
    <t>0117447811</t>
  </si>
  <si>
    <t>Aslah Husen</t>
  </si>
  <si>
    <t>0126689480</t>
  </si>
  <si>
    <t>Annisa Cira Alana</t>
  </si>
  <si>
    <t>0126802671</t>
  </si>
  <si>
    <t>Annizam Nadhif Pranaja</t>
  </si>
  <si>
    <t>0112465727</t>
  </si>
  <si>
    <t>Darrell Octavian Putra Setyono</t>
  </si>
  <si>
    <t>0112379889</t>
  </si>
  <si>
    <t>Aziza Fathiyyah Putri Cahyadi</t>
  </si>
  <si>
    <t>0127527232</t>
  </si>
  <si>
    <t>Fayza Adila Elysia</t>
  </si>
  <si>
    <t>0128374659</t>
  </si>
  <si>
    <t>Athar Luqman Al Hakim</t>
  </si>
  <si>
    <t>0122659609</t>
  </si>
  <si>
    <t>Farzan Ahza Argani</t>
  </si>
  <si>
    <t>0126673034</t>
  </si>
  <si>
    <t>Azkya Naura Affandi</t>
  </si>
  <si>
    <t>0113885659</t>
  </si>
  <si>
    <t>Filza Qorriaina Priyadi</t>
  </si>
  <si>
    <t>0121097999</t>
  </si>
  <si>
    <t>Azka Farid Hilman</t>
  </si>
  <si>
    <t>0124017638</t>
  </si>
  <si>
    <t>Ghaisan Abidzar Rahman</t>
  </si>
  <si>
    <t>0129402683</t>
  </si>
  <si>
    <t>Faza Nuril Khafiyya</t>
  </si>
  <si>
    <t>0126033194</t>
  </si>
  <si>
    <t>Ghayda Filzah</t>
  </si>
  <si>
    <t>0125392312</t>
  </si>
  <si>
    <t>Bagas Aditya Kurniawan</t>
  </si>
  <si>
    <t>0114987386</t>
  </si>
  <si>
    <t>Mohamad Raffa Al Gian</t>
  </si>
  <si>
    <t>0111218119</t>
  </si>
  <si>
    <t>Gaung Intan Nurhakiki</t>
  </si>
  <si>
    <t>0128197257</t>
  </si>
  <si>
    <t>Jihan Maulida Sandrica</t>
  </si>
  <si>
    <t>0129065757</t>
  </si>
  <si>
    <t>Bagus Nata Utama</t>
  </si>
  <si>
    <t>0123022843</t>
  </si>
  <si>
    <t>Muhamad Raka Iskandar</t>
  </si>
  <si>
    <t>0116939974</t>
  </si>
  <si>
    <t>Griselda Humeyra</t>
  </si>
  <si>
    <t>0113190183</t>
  </si>
  <si>
    <t>Nada Salsabila Indahati</t>
  </si>
  <si>
    <t>0111654026</t>
  </si>
  <si>
    <t>Danny Firmansyah</t>
  </si>
  <si>
    <t>0119460678</t>
  </si>
  <si>
    <t>Muhammad Abrar Al Baihaqi</t>
  </si>
  <si>
    <t>3128979187</t>
  </si>
  <si>
    <t>Jihan Shafwa Raihanah</t>
  </si>
  <si>
    <t>0125548136</t>
  </si>
  <si>
    <t>Nadhifa Askana Salsabil</t>
  </si>
  <si>
    <t>3121503824</t>
  </si>
  <si>
    <t>Dwivanza Fahruzain Gibran</t>
  </si>
  <si>
    <t>0112286611</t>
  </si>
  <si>
    <t>Muhammad Arsyad Adharesyandi</t>
  </si>
  <si>
    <t>0122918057</t>
  </si>
  <si>
    <t>Kanza Azzahra Raditya</t>
  </si>
  <si>
    <t>0115904913</t>
  </si>
  <si>
    <t>Naevandra Kamea Moana Legi</t>
  </si>
  <si>
    <t>3121236979</t>
  </si>
  <si>
    <t>Fahmi Febrian Adinata</t>
  </si>
  <si>
    <t>3114521195</t>
  </si>
  <si>
    <t>Muhammad Hanif Zafirrudin</t>
  </si>
  <si>
    <t>0121047876</t>
  </si>
  <si>
    <t xml:space="preserve">Khaira Nisa Muaddiba </t>
  </si>
  <si>
    <t>0126385348</t>
  </si>
  <si>
    <t>Najiyyah</t>
  </si>
  <si>
    <t>0112595363</t>
  </si>
  <si>
    <t>Fajar Irsyad Kamil</t>
  </si>
  <si>
    <t>0122355139</t>
  </si>
  <si>
    <t>Muhammad Husein</t>
  </si>
  <si>
    <t>0125725130</t>
  </si>
  <si>
    <t>Khalisa Gendis Ayudia</t>
  </si>
  <si>
    <t>0116054514</t>
  </si>
  <si>
    <t>Naura Althafunnisa</t>
  </si>
  <si>
    <t>0119408364</t>
  </si>
  <si>
    <t>Galang Rafasya Rezky Sanjaya</t>
  </si>
  <si>
    <t>0121341545</t>
  </si>
  <si>
    <t>Muhammad Kamal</t>
  </si>
  <si>
    <t>3123463761</t>
  </si>
  <si>
    <t>Nadhifa</t>
  </si>
  <si>
    <t>0117667470</t>
  </si>
  <si>
    <t>Naura Anditha Permana</t>
  </si>
  <si>
    <t>0125612897</t>
  </si>
  <si>
    <t>Heru Cakrabuana</t>
  </si>
  <si>
    <t>0113029342</t>
  </si>
  <si>
    <t>Muhammad Mirza Asy Syauqi</t>
  </si>
  <si>
    <t>0127080019</t>
  </si>
  <si>
    <t>Nadhifa Nugraha</t>
  </si>
  <si>
    <t>0128177865</t>
  </si>
  <si>
    <t>Nayla Luthfi Fatina</t>
  </si>
  <si>
    <t>0116458891</t>
  </si>
  <si>
    <t>Kevino Javier Oman</t>
  </si>
  <si>
    <t>0115036984</t>
  </si>
  <si>
    <t>Muhammad Radhyar Yahdi Al-Haq</t>
  </si>
  <si>
    <t>3118057263</t>
  </si>
  <si>
    <t>Natasya Angelin Kurniawan</t>
  </si>
  <si>
    <t>0117889907</t>
  </si>
  <si>
    <t>Qonita Ahnaf Gaswara</t>
  </si>
  <si>
    <t>0129091134</t>
  </si>
  <si>
    <t>Mohammad Hafizh Pharama Artha</t>
  </si>
  <si>
    <t>0129607856</t>
  </si>
  <si>
    <t>Muhammad Raezqa Arkharega</t>
  </si>
  <si>
    <t>0121931427</t>
  </si>
  <si>
    <t>Nazneen Baktir</t>
  </si>
  <si>
    <t>0123262630</t>
  </si>
  <si>
    <t>Rhaisa Aurelygina</t>
  </si>
  <si>
    <t>3114803664</t>
  </si>
  <si>
    <t>Muhammad Afiff</t>
  </si>
  <si>
    <t>3120516152</t>
  </si>
  <si>
    <t>Naufal Azka Dhiyaelfajr</t>
  </si>
  <si>
    <t>0122858338</t>
  </si>
  <si>
    <t>Qyara Anjani Putri</t>
  </si>
  <si>
    <t>0114627842</t>
  </si>
  <si>
    <t>Rifa Rihana</t>
  </si>
  <si>
    <t>0124542672</t>
  </si>
  <si>
    <t>Muhammad Jio Fahlevi</t>
  </si>
  <si>
    <t>0113095341</t>
  </si>
  <si>
    <t>Nizam Ibrahim Suranuraga</t>
  </si>
  <si>
    <t>0122657221</t>
  </si>
  <si>
    <t>Raisa Safaraz Azalia</t>
  </si>
  <si>
    <t>0121916968</t>
  </si>
  <si>
    <t>Stefhanie Nur Hidayanti</t>
  </si>
  <si>
    <t>0128414687</t>
  </si>
  <si>
    <t>Muhammad Mu'Adz Rabbani Kamal</t>
  </si>
  <si>
    <t>3124088468</t>
  </si>
  <si>
    <t>Raffa Cahya Ramadhan</t>
  </si>
  <si>
    <t>0126226041</t>
  </si>
  <si>
    <t>Raisya Yasmin</t>
  </si>
  <si>
    <t>0128579892</t>
  </si>
  <si>
    <t>Tazqia Ranyanisa Fauziah</t>
  </si>
  <si>
    <t>0128090050</t>
  </si>
  <si>
    <t>Muhammad Rafi Dzulfiansyah</t>
  </si>
  <si>
    <t>0125978950</t>
  </si>
  <si>
    <t>Reyhan Dzaky Almair</t>
  </si>
  <si>
    <t>3122765483</t>
  </si>
  <si>
    <t>Shafira Azkadina Putri</t>
  </si>
  <si>
    <t>0121534150</t>
  </si>
  <si>
    <t>Zafirah Farid Hatrash</t>
  </si>
  <si>
    <t>3117976756</t>
  </si>
  <si>
    <t>Muhammad Rafiyandi</t>
  </si>
  <si>
    <t>0111099942</t>
  </si>
  <si>
    <t>Ricardo Pratama Rakhadiansyah</t>
  </si>
  <si>
    <t>0116837407</t>
  </si>
  <si>
    <t>Sheryl Aira Sabella</t>
  </si>
  <si>
    <t>0128828019</t>
  </si>
  <si>
    <t>Nabhan Adli Syafiqurrahman</t>
  </si>
  <si>
    <t>0121137950</t>
  </si>
  <si>
    <t>Rifqi Zidan Farras</t>
  </si>
  <si>
    <t>0128492135</t>
  </si>
  <si>
    <t>Tiara Milannatasya Nisti</t>
  </si>
  <si>
    <t>0119476602</t>
  </si>
  <si>
    <t>Rasya Adlan Ridhabillah</t>
  </si>
  <si>
    <t>0127778579</t>
  </si>
  <si>
    <t>Fakhri Rausan Fikriwijaya</t>
  </si>
  <si>
    <t>0121461184</t>
  </si>
  <si>
    <t>Vivi Prapanca Vidiyasih</t>
  </si>
  <si>
    <t>3129047539</t>
  </si>
  <si>
    <t>Razka Shifan Azhari</t>
  </si>
  <si>
    <t>0126565787</t>
  </si>
  <si>
    <t>Jabbaar Dwi Istanto</t>
  </si>
  <si>
    <t>0117777981</t>
  </si>
  <si>
    <t>Tsania Marwah</t>
  </si>
  <si>
    <t>0125464551</t>
  </si>
  <si>
    <t>Rifat Karem Benzema</t>
  </si>
  <si>
    <t>3119541190</t>
  </si>
  <si>
    <t>Wildan Irhab Nabiel</t>
  </si>
  <si>
    <t>252608120</t>
  </si>
  <si>
    <t>Marsya Azkadina</t>
  </si>
  <si>
    <t>0119384300</t>
  </si>
  <si>
    <t>Salim Faalih</t>
  </si>
  <si>
    <t>0126281933</t>
  </si>
  <si>
    <t>Sepagaya Bayu Azhari</t>
  </si>
  <si>
    <t>0123797864</t>
  </si>
  <si>
    <t>Suparmo Brata Sentana</t>
  </si>
  <si>
    <t>3129121565</t>
  </si>
  <si>
    <t>Zidan Alfahredzi Hidayat</t>
  </si>
  <si>
    <t>Mohammad Dzaki</t>
  </si>
  <si>
    <t>3111270707</t>
  </si>
  <si>
    <t>0118842205</t>
  </si>
  <si>
    <t>Bagas Yunar Prayoga</t>
  </si>
  <si>
    <t>0115945462</t>
  </si>
  <si>
    <t>Muhamad Zhalfin Alfahridzi</t>
  </si>
  <si>
    <t>0111755790</t>
  </si>
  <si>
    <t>Hazira Ghaniah Zahra Izzati</t>
  </si>
  <si>
    <t xml:space="preserve">                                             </t>
  </si>
  <si>
    <t>Tahun</t>
  </si>
  <si>
    <t>25/26</t>
  </si>
  <si>
    <t>53</t>
  </si>
  <si>
    <t>24/25</t>
  </si>
  <si>
    <t>3133872296</t>
  </si>
  <si>
    <t>0135266086</t>
  </si>
  <si>
    <t>0138260956</t>
  </si>
  <si>
    <t>0134300927</t>
  </si>
  <si>
    <t>23/24</t>
  </si>
  <si>
    <t>0128722703</t>
  </si>
  <si>
    <t>0134048023</t>
  </si>
  <si>
    <t>0128422397</t>
  </si>
  <si>
    <t>3125639234</t>
  </si>
  <si>
    <t>22/23</t>
  </si>
  <si>
    <t>3124920500</t>
  </si>
  <si>
    <t>0121395119</t>
  </si>
  <si>
    <t>3123685561</t>
  </si>
  <si>
    <t>0121861043</t>
  </si>
  <si>
    <t>21/22</t>
  </si>
  <si>
    <t>0128370785</t>
  </si>
  <si>
    <t>0138494388</t>
  </si>
  <si>
    <t>3131607373</t>
  </si>
  <si>
    <t>0128944614</t>
  </si>
  <si>
    <t>Total</t>
  </si>
  <si>
    <t>0128707569</t>
  </si>
  <si>
    <t>3132974027</t>
  </si>
  <si>
    <t>0135412811</t>
  </si>
  <si>
    <t>0129268967</t>
  </si>
  <si>
    <t>0136650226</t>
  </si>
  <si>
    <t>0134522749</t>
  </si>
  <si>
    <t>0138348122</t>
  </si>
  <si>
    <t>3125052209</t>
  </si>
  <si>
    <t>0121621129</t>
  </si>
  <si>
    <t>0121333968</t>
  </si>
  <si>
    <t>3128508336</t>
  </si>
  <si>
    <t>3136874368</t>
  </si>
  <si>
    <t>0133789497</t>
  </si>
  <si>
    <t>0134353023</t>
  </si>
  <si>
    <t>0137007725</t>
  </si>
  <si>
    <t>0131598972</t>
  </si>
  <si>
    <t>0131318216</t>
  </si>
  <si>
    <t>3134356231</t>
  </si>
  <si>
    <t>0124187600</t>
  </si>
  <si>
    <t>0136523410</t>
  </si>
  <si>
    <t>3126345675</t>
  </si>
  <si>
    <t>0125215476</t>
  </si>
  <si>
    <t>3123585172</t>
  </si>
  <si>
    <t>0125366540</t>
  </si>
  <si>
    <t>0134868868</t>
  </si>
  <si>
    <t>3131079031</t>
  </si>
  <si>
    <t>3134387056</t>
  </si>
  <si>
    <t>3122997418</t>
  </si>
  <si>
    <t>0128244864</t>
  </si>
  <si>
    <t>0125851998</t>
  </si>
  <si>
    <t>0137966343</t>
  </si>
  <si>
    <t>3130172621</t>
  </si>
  <si>
    <t>3132841172</t>
  </si>
  <si>
    <t>0121133226</t>
  </si>
  <si>
    <t>3133086053</t>
  </si>
  <si>
    <t>0125324846</t>
  </si>
  <si>
    <t>0138005334</t>
  </si>
  <si>
    <t>0121777787</t>
  </si>
  <si>
    <t>3121190035</t>
  </si>
  <si>
    <t>0136682064</t>
  </si>
  <si>
    <t>3127924486</t>
  </si>
  <si>
    <t>3125568081</t>
  </si>
  <si>
    <t>3132633372</t>
  </si>
  <si>
    <t>0125151287</t>
  </si>
  <si>
    <t>3139587857</t>
  </si>
  <si>
    <t>0127096911</t>
  </si>
  <si>
    <t>0129315909</t>
  </si>
  <si>
    <t>0133665121</t>
  </si>
  <si>
    <t>0137320488</t>
  </si>
  <si>
    <t>3128092590</t>
  </si>
  <si>
    <t>0133539869</t>
  </si>
  <si>
    <t>0132236867</t>
  </si>
  <si>
    <t>0128721082</t>
  </si>
  <si>
    <t>3135653098</t>
  </si>
  <si>
    <t>0132604664</t>
  </si>
  <si>
    <t>0121432883</t>
  </si>
  <si>
    <t>0137195752</t>
  </si>
  <si>
    <t>3129798159</t>
  </si>
  <si>
    <t>3134479786</t>
  </si>
  <si>
    <t>0136715224</t>
  </si>
  <si>
    <t>0131654272</t>
  </si>
  <si>
    <t>0136561087</t>
  </si>
  <si>
    <t>0128952100</t>
  </si>
  <si>
    <t>0123892783</t>
  </si>
  <si>
    <t>0124033092</t>
  </si>
  <si>
    <t>0125313044</t>
  </si>
  <si>
    <t>0132648669</t>
  </si>
  <si>
    <t>3136375782</t>
  </si>
  <si>
    <t>3126279275</t>
  </si>
  <si>
    <t>0123330549</t>
  </si>
  <si>
    <t>0118613224</t>
  </si>
  <si>
    <t>0127274352</t>
  </si>
  <si>
    <t>0131501046</t>
  </si>
  <si>
    <t>0135952863</t>
  </si>
  <si>
    <t>0126474197</t>
  </si>
  <si>
    <t>0129311575</t>
  </si>
  <si>
    <t>0132954507</t>
  </si>
  <si>
    <t>3137109553</t>
  </si>
  <si>
    <t>0124272559</t>
  </si>
  <si>
    <t>0121693995</t>
  </si>
  <si>
    <t>0133231679</t>
  </si>
  <si>
    <t>0134179270</t>
  </si>
  <si>
    <t>0132852444</t>
  </si>
  <si>
    <t>3134534312</t>
  </si>
  <si>
    <t>3135203292</t>
  </si>
  <si>
    <t>0129122206</t>
  </si>
  <si>
    <t>0138068882</t>
  </si>
  <si>
    <t>0127216734</t>
  </si>
  <si>
    <t>0133842035</t>
  </si>
  <si>
    <t>3121689463</t>
  </si>
  <si>
    <t>3125352295</t>
  </si>
  <si>
    <t>Muhammad Aufar Hafizhan Aqila</t>
  </si>
  <si>
    <t>0137052817</t>
  </si>
  <si>
    <t>0125458826</t>
  </si>
  <si>
    <t>3135855568</t>
  </si>
  <si>
    <t>3131479710</t>
  </si>
  <si>
    <t>0125397893</t>
  </si>
  <si>
    <t>0128027988</t>
  </si>
  <si>
    <t>0123859997</t>
  </si>
  <si>
    <t>0124542596</t>
  </si>
  <si>
    <t>0129677670</t>
  </si>
  <si>
    <t>3138847703</t>
  </si>
  <si>
    <t>SAS</t>
  </si>
  <si>
    <t>NA (70% RH+30%SAS)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</si>
</sst>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@\ * &quot;:&quot;"/>
  </numFmts>
  <fonts count="8">
    <font>
      <name val="Calibri"/>
      <sz val="11"/>
    </font>
    <font>
      <name val="Calibri Light"/>
      <sz val="12"/>
    </font>
    <font>
      <name val="Calibri Light"/>
      <b/>
      <sz val="12"/>
    </font>
    <font>
      <name val="Calibri Light"/>
      <sz val="12"/>
      <color rgb="FF000000"/>
    </font>
    <font>
      <name val="Calibri Light"/>
      <sz val="12"/>
      <color rgb="FF000000"/>
    </font>
    <font>
      <name val="Calibri Light"/>
      <b/>
      <sz val="12"/>
      <color rgb="FF000000"/>
    </font>
    <font>
      <name val="Calibri Light"/>
      <b/>
      <u/>
      <sz val="12"/>
    </font>
    <font>
      <name val="Calibri"/>
      <sz val="11"/>
      <color rgb="FF000000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bottom"/>
      <protection locked="0" hidden="0"/>
    </xf>
  </cellStyleXfs>
  <cellXfs count="5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center" vertical="center"/>
    </xf>
    <xf numFmtId="164" fontId="1" fillId="0" borderId="0" xfId="0" applyNumberFormat="1" applyFont="1" applyFill="1">
      <alignment vertical="center"/>
    </xf>
    <xf numFmtId="164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Alignment="1">
      <alignment horizontal="left" vertical="center"/>
    </xf>
    <xf numFmtId="164" fontId="1" fillId="0" borderId="0" xfId="0" applyNumberFormat="1" applyFont="1" applyFill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 quotePrefix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0" xfId="0" applyFont="1" applyFill="1" applyAlignment="1" quotePrefix="1">
      <alignment horizontal="center" vertical="center"/>
    </xf>
    <xf numFmtId="0" fontId="1" fillId="0" borderId="2" xfId="1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1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 quotePrefix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2" xfId="0" applyFont="1" applyFill="1" applyBorder="1">
      <alignment vertical="center"/>
    </xf>
    <xf numFmtId="0" fontId="1" fillId="0" borderId="2" xfId="0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left" vertical="center"/>
    </xf>
    <xf numFmtId="164" fontId="1" fillId="0" borderId="1" xfId="0" applyNumberFormat="1" applyFont="1" applyFill="1" applyBorder="1">
      <alignment vertical="center"/>
    </xf>
    <xf numFmtId="0" fontId="4" fillId="0" borderId="2" xfId="1" applyFont="1" applyFill="1" applyBorder="1" applyAlignment="1">
      <alignment horizontal="center" vertical="center"/>
    </xf>
    <xf numFmtId="0" fontId="1" fillId="0" borderId="3" xfId="0" applyFont="1" applyFill="1" applyBorder="1">
      <alignment vertical="center"/>
    </xf>
    <xf numFmtId="0" fontId="1" fillId="0" borderId="4" xfId="0" applyFont="1" applyFill="1" applyBorder="1">
      <alignment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right" vertical="center"/>
    </xf>
    <xf numFmtId="0" fontId="1" fillId="0" borderId="1" xfId="0" applyFont="1" applyFill="1" applyBorder="1">
      <alignment vertical="center"/>
    </xf>
    <xf numFmtId="0" fontId="1" fillId="0" borderId="0" xfId="0" applyFont="1" applyFill="1" applyAlignment="1">
      <alignment vertical="center" wrapText="1"/>
    </xf>
    <xf numFmtId="0" fontId="1" fillId="0" borderId="7" xfId="0" applyFont="1" applyFill="1" applyBorder="1">
      <alignment vertical="center"/>
    </xf>
    <xf numFmtId="0" fontId="1" fillId="0" borderId="8" xfId="0" applyFont="1" applyFill="1" applyBorder="1">
      <alignment vertical="center"/>
    </xf>
    <xf numFmtId="0" fontId="1" fillId="0" borderId="9" xfId="0" applyFont="1" applyFill="1" applyBorder="1">
      <alignment vertical="center"/>
    </xf>
    <xf numFmtId="0" fontId="1" fillId="0" borderId="9" xfId="0" applyFont="1" applyFill="1" applyBorder="1" applyAlignment="1">
      <alignment horizontal="center" vertical="center"/>
    </xf>
  </cellXfs>
  <cellStyles count="2">
    <cellStyle name="常规" xfId="0" builtinId="0"/>
    <cellStyle name="Normal 2" xfId="1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S138"/>
  <sheetViews>
    <sheetView tabSelected="1" workbookViewId="0" topLeftCell="D211" zoomScale="46">
      <selection activeCell="K258" sqref="K258"/>
    </sheetView>
  </sheetViews>
  <sheetFormatPr defaultRowHeight="15.75" defaultColWidth="7"/>
  <cols>
    <col min="1" max="1" customWidth="1" bestFit="1" width="7.7109375" style="1"/>
    <col min="2" max="2" customWidth="1" width="12.855469" style="2"/>
    <col min="3" max="3" hidden="1" customWidth="1" width="14.285156" style="2"/>
    <col min="4" max="4" customWidth="1" bestFit="1" width="34.140625" style="3"/>
    <col min="5" max="5" customWidth="1" bestFit="1" width="3.5703125" style="2"/>
    <col min="6" max="6" customWidth="1" bestFit="1" width="5.5703125" style="1"/>
    <col min="7" max="7" customWidth="1" width="1.8554688" style="1"/>
    <col min="8" max="8" customWidth="1" bestFit="1" width="7.7109375" style="1"/>
    <col min="9" max="9" customWidth="1" width="12.855469" style="2"/>
    <col min="10" max="10" hidden="1" customWidth="1" width="14.285156" style="2"/>
    <col min="11" max="11" customWidth="1" bestFit="1" width="35.710938" style="1"/>
    <col min="12" max="12" customWidth="1" bestFit="1" width="3.5703125" style="1"/>
    <col min="13" max="13" customWidth="1" bestFit="1" width="5.5703125" style="1"/>
    <col min="14" max="14" customWidth="1" width="1.7109375" style="1"/>
    <col min="15" max="15" customWidth="1" bestFit="1" width="7.7109375" style="1"/>
    <col min="16" max="16" customWidth="1" bestFit="1" width="12.855469" style="2"/>
    <col min="17" max="17" hidden="1" customWidth="1" width="14.285156" style="1"/>
    <col min="18" max="18" customWidth="1" bestFit="1" width="43.710938" style="1"/>
    <col min="19" max="19" customWidth="1" bestFit="1" width="3.5703125" style="2"/>
    <col min="20" max="20" customWidth="1" bestFit="1" width="5.5703125" style="1"/>
    <col min="21" max="21" customWidth="1" width="3.4257812" style="1"/>
    <col min="22" max="22" customWidth="1" bestFit="1" width="7.7109375" style="1"/>
    <col min="23" max="23" customWidth="1" bestFit="1" width="12.855469" style="2"/>
    <col min="24" max="24" hidden="1" customWidth="1" width="14.285156" style="2"/>
    <col min="25" max="25" customWidth="1" bestFit="1" width="37.285156" style="1"/>
    <col min="26" max="26" customWidth="1" bestFit="1" width="8.0" style="2"/>
    <col min="27" max="27" customWidth="1" bestFit="1" width="5.5703125" style="1"/>
    <col min="28" max="31" customWidth="0" width="7.0" style="1"/>
    <col min="32" max="32" customWidth="1" width="2.7109375" style="1"/>
    <col min="33" max="33" customWidth="1" bestFit="1" width="4.140625" style="2"/>
    <col min="34" max="34" customWidth="1" bestFit="1" width="9.285156" style="2"/>
    <col min="35" max="35" customWidth="1" bestFit="1" width="38.42578" style="2"/>
    <col min="36" max="36" hidden="1" customWidth="1" width="23.710938" style="2"/>
    <col min="37" max="37" customWidth="1" bestFit="1" width="14.285156" style="2"/>
    <col min="38" max="38" customWidth="1" bestFit="1" width="11.7109375" style="2"/>
    <col min="39" max="39" customWidth="1" bestFit="1" width="9.5703125" style="2"/>
    <col min="40" max="40" customWidth="1" width="15.7109375" style="2"/>
    <col min="41" max="41" customWidth="1" bestFit="1" width="7.8554688" style="1"/>
    <col min="42" max="42" customWidth="1" bestFit="1" width="12.7109375" style="2"/>
    <col min="43" max="43" customWidth="1" bestFit="1" width="9.5703125" style="2"/>
    <col min="44" max="44" customWidth="1" bestFit="1" width="8.140625" style="1"/>
    <col min="45" max="16384" customWidth="0" width="7.0" style="1"/>
  </cols>
  <sheetData>
    <row r="1" spans="8:8">
      <c r="A1" s="4" t="s">
        <v>12</v>
      </c>
      <c r="B1" s="4"/>
      <c r="C1" s="4"/>
      <c r="D1" s="4"/>
      <c r="E1" s="4"/>
      <c r="F1" s="4"/>
      <c r="G1" s="5"/>
      <c r="H1" s="4" t="s">
        <v>12</v>
      </c>
      <c r="I1" s="4"/>
      <c r="J1" s="4"/>
      <c r="K1" s="4"/>
      <c r="L1" s="4"/>
      <c r="M1" s="4"/>
      <c r="N1" s="5"/>
      <c r="O1" s="4" t="s">
        <v>12</v>
      </c>
      <c r="P1" s="4"/>
      <c r="Q1" s="4"/>
      <c r="R1" s="4"/>
      <c r="S1" s="4"/>
      <c r="T1" s="4"/>
      <c r="V1" s="4" t="s">
        <v>12</v>
      </c>
      <c r="W1" s="4"/>
      <c r="X1" s="4"/>
      <c r="Y1" s="4"/>
      <c r="Z1" s="4"/>
      <c r="AA1" s="4"/>
      <c r="AG1" s="4" t="s">
        <v>12</v>
      </c>
      <c r="AH1" s="4"/>
      <c r="AI1" s="4"/>
      <c r="AJ1" s="4"/>
      <c r="AK1" s="4"/>
      <c r="AL1" s="4"/>
      <c r="AM1" s="4"/>
      <c r="AN1" s="1"/>
      <c r="AP1" s="1"/>
    </row>
    <row r="2" spans="8:8">
      <c r="A2" s="4" t="s">
        <v>13</v>
      </c>
      <c r="B2" s="4"/>
      <c r="C2" s="4"/>
      <c r="D2" s="4"/>
      <c r="E2" s="4"/>
      <c r="F2" s="4"/>
      <c r="G2" s="5"/>
      <c r="H2" s="4" t="s">
        <v>13</v>
      </c>
      <c r="I2" s="4"/>
      <c r="J2" s="4"/>
      <c r="K2" s="4"/>
      <c r="L2" s="4"/>
      <c r="M2" s="4"/>
      <c r="N2" s="5"/>
      <c r="O2" s="4" t="s">
        <v>13</v>
      </c>
      <c r="P2" s="4"/>
      <c r="Q2" s="4"/>
      <c r="R2" s="4"/>
      <c r="S2" s="4"/>
      <c r="T2" s="4"/>
      <c r="V2" s="4" t="s">
        <v>13</v>
      </c>
      <c r="W2" s="4"/>
      <c r="X2" s="4"/>
      <c r="Y2" s="4"/>
      <c r="Z2" s="4"/>
      <c r="AA2" s="4"/>
      <c r="AG2" s="4" t="s">
        <v>13</v>
      </c>
      <c r="AH2" s="4"/>
      <c r="AI2" s="4"/>
      <c r="AJ2" s="4"/>
      <c r="AK2" s="4"/>
      <c r="AL2" s="4"/>
      <c r="AM2" s="4"/>
      <c r="AN2" s="1"/>
      <c r="AP2" s="1"/>
    </row>
    <row r="3" spans="8:8">
      <c r="A3" s="4" t="s">
        <v>287</v>
      </c>
      <c r="B3" s="4"/>
      <c r="C3" s="4"/>
      <c r="D3" s="4"/>
      <c r="E3" s="4"/>
      <c r="F3" s="4"/>
      <c r="G3" s="5"/>
      <c r="H3" s="4" t="s">
        <v>287</v>
      </c>
      <c r="I3" s="4"/>
      <c r="J3" s="4"/>
      <c r="K3" s="4"/>
      <c r="L3" s="4"/>
      <c r="M3" s="4"/>
      <c r="N3" s="5"/>
      <c r="O3" s="4" t="s">
        <v>287</v>
      </c>
      <c r="P3" s="4"/>
      <c r="Q3" s="4"/>
      <c r="R3" s="4"/>
      <c r="S3" s="4"/>
      <c r="T3" s="4"/>
      <c r="V3" s="4" t="s">
        <v>287</v>
      </c>
      <c r="W3" s="4"/>
      <c r="X3" s="4"/>
      <c r="Y3" s="4"/>
      <c r="Z3" s="4"/>
      <c r="AA3" s="4"/>
      <c r="AG3" s="4" t="s">
        <v>287</v>
      </c>
      <c r="AH3" s="4"/>
      <c r="AI3" s="4"/>
      <c r="AJ3" s="4"/>
      <c r="AK3" s="4"/>
      <c r="AL3" s="4"/>
      <c r="AM3" s="4"/>
      <c r="AN3" s="1"/>
      <c r="AP3" s="1"/>
    </row>
    <row r="4" spans="8:8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V4" s="5"/>
      <c r="W4" s="5"/>
      <c r="X4" s="5"/>
      <c r="Y4" s="5"/>
      <c r="Z4" s="5"/>
      <c r="AA4" s="5"/>
      <c r="AK4" s="6" t="str">
        <f>"Cirebon, "&amp;TEXT(TODAY(),"d mmmm yyyy")</f>
        <v>Cirebon, 11 January 2026</v>
      </c>
      <c r="AL4" s="6"/>
      <c r="AM4" s="6"/>
      <c r="AO4" s="7" t="s">
        <v>755</v>
      </c>
      <c r="AP4" s="7" t="s">
        <v>262</v>
      </c>
      <c r="AQ4" s="7" t="s">
        <v>263</v>
      </c>
      <c r="AR4" s="7" t="s">
        <v>62</v>
      </c>
    </row>
    <row r="5" spans="8:8" s="8" ht="15.75" customFormat="1">
      <c r="A5" s="9" t="s">
        <v>14</v>
      </c>
      <c r="B5" s="10" t="s">
        <v>15</v>
      </c>
      <c r="C5" s="11"/>
      <c r="D5" s="9"/>
      <c r="E5" s="11"/>
      <c r="F5" s="9"/>
      <c r="H5" s="12" t="s">
        <v>14</v>
      </c>
      <c r="I5" s="2" t="s">
        <v>16</v>
      </c>
      <c r="J5" s="13"/>
      <c r="K5" s="12"/>
      <c r="L5" s="12"/>
      <c r="M5" s="12"/>
      <c r="O5" s="9" t="s">
        <v>14</v>
      </c>
      <c r="P5" s="10" t="s">
        <v>17</v>
      </c>
      <c r="Q5" s="9"/>
      <c r="R5" s="9"/>
      <c r="S5" s="11"/>
      <c r="T5" s="9"/>
      <c r="V5" s="9" t="s">
        <v>14</v>
      </c>
      <c r="W5" s="11" t="s">
        <v>18</v>
      </c>
      <c r="X5" s="11"/>
      <c r="Y5" s="9"/>
      <c r="Z5" s="11"/>
      <c r="AA5" s="9"/>
      <c r="AG5" s="14" t="s">
        <v>11</v>
      </c>
      <c r="AH5" s="15"/>
      <c r="AI5" s="16" t="s">
        <v>19</v>
      </c>
      <c r="AJ5" s="16" t="s">
        <v>20</v>
      </c>
      <c r="AK5" s="16" t="s">
        <v>21</v>
      </c>
      <c r="AL5" s="16" t="s">
        <v>22</v>
      </c>
      <c r="AM5" s="16" t="s">
        <v>23</v>
      </c>
      <c r="AN5" s="13"/>
      <c r="AO5" s="17" t="s">
        <v>756</v>
      </c>
      <c r="AP5" s="17">
        <v>64.0</v>
      </c>
      <c r="AQ5" s="17" t="s">
        <v>757</v>
      </c>
      <c r="AR5" s="17">
        <f>SUM(AP5:AQ5)</f>
        <v>64.0</v>
      </c>
    </row>
    <row r="6" spans="8:8" s="18" ht="15.75" customFormat="1">
      <c r="A6" s="19" t="s">
        <v>0</v>
      </c>
      <c r="B6" s="19" t="s">
        <v>24</v>
      </c>
      <c r="C6" s="19" t="s">
        <v>25</v>
      </c>
      <c r="D6" s="19" t="s">
        <v>1</v>
      </c>
      <c r="E6" s="19" t="s">
        <v>26</v>
      </c>
      <c r="F6" s="19" t="s">
        <v>27</v>
      </c>
      <c r="H6" s="19" t="s">
        <v>0</v>
      </c>
      <c r="I6" s="19" t="s">
        <v>24</v>
      </c>
      <c r="J6" s="19" t="s">
        <v>25</v>
      </c>
      <c r="K6" s="19" t="s">
        <v>1</v>
      </c>
      <c r="L6" s="19" t="s">
        <v>26</v>
      </c>
      <c r="M6" s="19" t="s">
        <v>27</v>
      </c>
      <c r="O6" s="19" t="s">
        <v>0</v>
      </c>
      <c r="P6" s="19" t="s">
        <v>24</v>
      </c>
      <c r="Q6" s="19" t="s">
        <v>25</v>
      </c>
      <c r="R6" s="19" t="s">
        <v>1</v>
      </c>
      <c r="S6" s="19" t="s">
        <v>26</v>
      </c>
      <c r="T6" s="7" t="s">
        <v>27</v>
      </c>
      <c r="V6" s="19" t="s">
        <v>0</v>
      </c>
      <c r="W6" s="19" t="s">
        <v>24</v>
      </c>
      <c r="X6" s="19" t="s">
        <v>25</v>
      </c>
      <c r="Y6" s="19" t="s">
        <v>1</v>
      </c>
      <c r="Z6" s="19" t="s">
        <v>26</v>
      </c>
      <c r="AA6" s="7" t="s">
        <v>27</v>
      </c>
      <c r="AG6" s="16" t="s">
        <v>15</v>
      </c>
      <c r="AH6" s="16" t="s">
        <v>288</v>
      </c>
      <c r="AI6" s="20" t="s">
        <v>289</v>
      </c>
      <c r="AJ6" s="21"/>
      <c r="AK6" s="16">
        <f>D42</f>
        <v>32.0</v>
      </c>
      <c r="AL6" s="16">
        <f>D43</f>
        <v>0.0</v>
      </c>
      <c r="AM6" s="7">
        <f>AK6+AL6</f>
        <v>32.0</v>
      </c>
      <c r="AN6" s="5"/>
      <c r="AO6" s="17" t="s">
        <v>758</v>
      </c>
      <c r="AP6" s="17">
        <v>49.0</v>
      </c>
      <c r="AQ6" s="17">
        <v>56.0</v>
      </c>
      <c r="AR6" s="17">
        <f t="shared" si="0" ref="AR6:AR9">SUM(AP6:AQ6)</f>
        <v>105.0</v>
      </c>
    </row>
    <row r="7" spans="8:8" ht="20.1" customHeight="1">
      <c r="A7" s="22">
        <f>IF(D7="","",1)</f>
        <v>1.0</v>
      </c>
      <c r="B7" s="23" t="s">
        <v>290</v>
      </c>
      <c r="C7" s="24" t="s">
        <v>759</v>
      </c>
      <c r="D7" s="25" t="s">
        <v>291</v>
      </c>
      <c r="E7" s="24" t="s">
        <v>30</v>
      </c>
      <c r="F7" s="26"/>
      <c r="H7" s="22">
        <f>IF(K7="","",1)</f>
        <v>1.0</v>
      </c>
      <c r="I7" s="23" t="s">
        <v>292</v>
      </c>
      <c r="J7" s="24" t="s">
        <v>760</v>
      </c>
      <c r="K7" s="26" t="s">
        <v>293</v>
      </c>
      <c r="L7" s="24" t="s">
        <v>30</v>
      </c>
      <c r="M7" s="26"/>
      <c r="O7" s="22">
        <f>IF(R7="","",1)</f>
        <v>1.0</v>
      </c>
      <c r="P7" s="23" t="s">
        <v>294</v>
      </c>
      <c r="Q7" s="24" t="s">
        <v>761</v>
      </c>
      <c r="R7" s="25" t="s">
        <v>295</v>
      </c>
      <c r="S7" s="24" t="s">
        <v>35</v>
      </c>
      <c r="T7" s="26"/>
      <c r="V7" s="16">
        <f>IF(Y7="","",1)</f>
        <v>1.0</v>
      </c>
      <c r="W7" s="23" t="s">
        <v>296</v>
      </c>
      <c r="X7" s="24" t="s">
        <v>762</v>
      </c>
      <c r="Y7" s="26" t="s">
        <v>297</v>
      </c>
      <c r="Z7" s="24" t="s">
        <v>35</v>
      </c>
      <c r="AA7" s="26"/>
      <c r="AG7" s="16" t="s">
        <v>16</v>
      </c>
      <c r="AH7" s="16" t="s">
        <v>298</v>
      </c>
      <c r="AI7" s="27" t="s">
        <v>299</v>
      </c>
      <c r="AJ7" s="21"/>
      <c r="AK7" s="16">
        <f>K42</f>
        <v>32.0</v>
      </c>
      <c r="AL7" s="16">
        <f>K43</f>
        <v>0.0</v>
      </c>
      <c r="AM7" s="7">
        <f>AK7+AL7</f>
        <v>32.0</v>
      </c>
      <c r="AO7" s="17" t="s">
        <v>763</v>
      </c>
      <c r="AP7" s="17">
        <v>59.0</v>
      </c>
      <c r="AQ7" s="17">
        <v>57.0</v>
      </c>
      <c r="AR7" s="17">
        <f t="shared" si="0"/>
        <v>116.0</v>
      </c>
    </row>
    <row r="8" spans="8:8" ht="20.1" customHeight="1">
      <c r="A8" s="22">
        <f t="shared" si="1" ref="A8:A39">IF(D8="","",A7+1)</f>
        <v>2.0</v>
      </c>
      <c r="B8" s="23" t="s">
        <v>300</v>
      </c>
      <c r="C8" s="24" t="s">
        <v>764</v>
      </c>
      <c r="D8" s="26" t="s">
        <v>301</v>
      </c>
      <c r="E8" s="24" t="s">
        <v>30</v>
      </c>
      <c r="F8" s="26"/>
      <c r="H8" s="22">
        <f t="shared" si="2" ref="H8:H39">IF(K8="","",H7+1)</f>
        <v>2.0</v>
      </c>
      <c r="I8" s="23" t="s">
        <v>302</v>
      </c>
      <c r="J8" s="24" t="s">
        <v>765</v>
      </c>
      <c r="K8" s="26" t="s">
        <v>303</v>
      </c>
      <c r="L8" s="24" t="s">
        <v>30</v>
      </c>
      <c r="M8" s="26"/>
      <c r="O8" s="22">
        <f t="shared" si="3" ref="O8:O39">IF(R8="","",O7+1)</f>
        <v>2.0</v>
      </c>
      <c r="P8" s="23" t="s">
        <v>304</v>
      </c>
      <c r="Q8" s="24" t="s">
        <v>766</v>
      </c>
      <c r="R8" s="25" t="s">
        <v>305</v>
      </c>
      <c r="S8" s="24" t="s">
        <v>35</v>
      </c>
      <c r="T8" s="26"/>
      <c r="V8" s="16">
        <f t="shared" si="4" ref="V8:V39">IF(Y8="","",V7+1)</f>
        <v>2.0</v>
      </c>
      <c r="W8" s="28" t="s">
        <v>306</v>
      </c>
      <c r="X8" s="24" t="s">
        <v>767</v>
      </c>
      <c r="Y8" s="26" t="s">
        <v>307</v>
      </c>
      <c r="Z8" s="24" t="s">
        <v>35</v>
      </c>
      <c r="AA8" s="26"/>
      <c r="AG8" s="16" t="s">
        <v>17</v>
      </c>
      <c r="AH8" s="16" t="s">
        <v>288</v>
      </c>
      <c r="AI8" s="27" t="s">
        <v>308</v>
      </c>
      <c r="AJ8" s="21"/>
      <c r="AK8" s="16">
        <f>R42</f>
        <v>0.0</v>
      </c>
      <c r="AL8" s="16">
        <f>R43</f>
        <v>27.0</v>
      </c>
      <c r="AM8" s="7">
        <f>AK8+AL8</f>
        <v>27.0</v>
      </c>
      <c r="AO8" s="17" t="s">
        <v>768</v>
      </c>
      <c r="AP8" s="17">
        <v>52.0</v>
      </c>
      <c r="AQ8" s="17">
        <v>42.0</v>
      </c>
      <c r="AR8" s="17">
        <f t="shared" si="0"/>
        <v>94.0</v>
      </c>
    </row>
    <row r="9" spans="8:8" ht="20.1" customHeight="1">
      <c r="A9" s="22">
        <f t="shared" si="1"/>
        <v>3.0</v>
      </c>
      <c r="B9" s="23" t="s">
        <v>309</v>
      </c>
      <c r="C9" s="24" t="s">
        <v>769</v>
      </c>
      <c r="D9" s="26" t="s">
        <v>310</v>
      </c>
      <c r="E9" s="24" t="s">
        <v>30</v>
      </c>
      <c r="F9" s="26"/>
      <c r="H9" s="22">
        <f t="shared" si="2"/>
        <v>3.0</v>
      </c>
      <c r="I9" s="23" t="s">
        <v>311</v>
      </c>
      <c r="J9" s="24" t="s">
        <v>770</v>
      </c>
      <c r="K9" s="26" t="s">
        <v>312</v>
      </c>
      <c r="L9" s="24" t="s">
        <v>30</v>
      </c>
      <c r="M9" s="26"/>
      <c r="O9" s="22">
        <f t="shared" si="3"/>
        <v>3.0</v>
      </c>
      <c r="P9" s="23" t="s">
        <v>313</v>
      </c>
      <c r="Q9" s="24" t="s">
        <v>771</v>
      </c>
      <c r="R9" s="26" t="s">
        <v>314</v>
      </c>
      <c r="S9" s="24" t="s">
        <v>35</v>
      </c>
      <c r="T9" s="26"/>
      <c r="V9" s="16">
        <f t="shared" si="4"/>
        <v>3.0</v>
      </c>
      <c r="W9" s="23" t="s">
        <v>315</v>
      </c>
      <c r="X9" s="24" t="s">
        <v>772</v>
      </c>
      <c r="Y9" s="26" t="s">
        <v>316</v>
      </c>
      <c r="Z9" s="24" t="s">
        <v>35</v>
      </c>
      <c r="AA9" s="26"/>
      <c r="AG9" s="16" t="s">
        <v>18</v>
      </c>
      <c r="AH9" s="16" t="s">
        <v>298</v>
      </c>
      <c r="AI9" s="29" t="s">
        <v>317</v>
      </c>
      <c r="AJ9" s="21"/>
      <c r="AK9" s="16">
        <f>Y42</f>
        <v>0.0</v>
      </c>
      <c r="AL9" s="16">
        <f>Y43</f>
        <v>26.0</v>
      </c>
      <c r="AM9" s="7">
        <f>AK9+AL9</f>
        <v>26.0</v>
      </c>
      <c r="AN9" s="1"/>
      <c r="AO9" s="16" t="s">
        <v>773</v>
      </c>
      <c r="AP9" s="16">
        <v>45.0</v>
      </c>
      <c r="AQ9" s="16">
        <v>50.0</v>
      </c>
      <c r="AR9" s="17">
        <f t="shared" si="0"/>
        <v>95.0</v>
      </c>
    </row>
    <row r="10" spans="8:8" ht="20.1" customHeight="1">
      <c r="A10" s="22">
        <f t="shared" si="1"/>
        <v>4.0</v>
      </c>
      <c r="B10" s="23" t="s">
        <v>318</v>
      </c>
      <c r="C10" s="24" t="s">
        <v>774</v>
      </c>
      <c r="D10" s="26" t="s">
        <v>319</v>
      </c>
      <c r="E10" s="24" t="s">
        <v>30</v>
      </c>
      <c r="F10" s="26"/>
      <c r="H10" s="22">
        <f t="shared" si="2"/>
        <v>4.0</v>
      </c>
      <c r="I10" s="23" t="s">
        <v>320</v>
      </c>
      <c r="J10" s="24" t="s">
        <v>775</v>
      </c>
      <c r="K10" s="26" t="s">
        <v>321</v>
      </c>
      <c r="L10" s="24" t="s">
        <v>30</v>
      </c>
      <c r="M10" s="26"/>
      <c r="O10" s="22">
        <f t="shared" si="3"/>
        <v>4.0</v>
      </c>
      <c r="P10" s="23" t="s">
        <v>322</v>
      </c>
      <c r="Q10" s="24" t="s">
        <v>776</v>
      </c>
      <c r="R10" s="26" t="s">
        <v>323</v>
      </c>
      <c r="S10" s="24" t="s">
        <v>35</v>
      </c>
      <c r="T10" s="26"/>
      <c r="V10" s="16">
        <f t="shared" si="4"/>
        <v>4.0</v>
      </c>
      <c r="W10" s="23" t="s">
        <v>324</v>
      </c>
      <c r="X10" s="24" t="s">
        <v>777</v>
      </c>
      <c r="Y10" s="26" t="s">
        <v>325</v>
      </c>
      <c r="Z10" s="24" t="s">
        <v>35</v>
      </c>
      <c r="AA10" s="26"/>
      <c r="AG10" s="30" t="s">
        <v>62</v>
      </c>
      <c r="AH10" s="30"/>
      <c r="AI10" s="30"/>
      <c r="AJ10" s="7"/>
      <c r="AK10" s="7">
        <f>SUM(AK6:AK9)</f>
        <v>64.0</v>
      </c>
      <c r="AL10" s="7">
        <f>SUM(AL6:AL9)</f>
        <v>53.0</v>
      </c>
      <c r="AM10" s="7">
        <f>SUM(AM6:AM9)</f>
        <v>117.0</v>
      </c>
      <c r="AO10" s="31" t="s">
        <v>778</v>
      </c>
      <c r="AP10" s="31"/>
      <c r="AQ10" s="31"/>
      <c r="AR10" s="7">
        <f>SUM(AR5:AR9)</f>
        <v>474.0</v>
      </c>
    </row>
    <row r="11" spans="8:8" ht="20.1" customHeight="1">
      <c r="A11" s="22">
        <f t="shared" si="1"/>
        <v>5.0</v>
      </c>
      <c r="B11" s="23" t="s">
        <v>326</v>
      </c>
      <c r="C11" s="24" t="s">
        <v>779</v>
      </c>
      <c r="D11" s="26" t="s">
        <v>327</v>
      </c>
      <c r="E11" s="24" t="s">
        <v>30</v>
      </c>
      <c r="F11" s="26"/>
      <c r="H11" s="22">
        <f t="shared" si="2"/>
        <v>5.0</v>
      </c>
      <c r="I11" s="23" t="s">
        <v>328</v>
      </c>
      <c r="J11" s="24" t="s">
        <v>780</v>
      </c>
      <c r="K11" s="26" t="s">
        <v>329</v>
      </c>
      <c r="L11" s="24" t="s">
        <v>30</v>
      </c>
      <c r="M11" s="26"/>
      <c r="O11" s="22">
        <f t="shared" si="3"/>
        <v>5.0</v>
      </c>
      <c r="P11" s="23" t="s">
        <v>330</v>
      </c>
      <c r="Q11" s="24" t="s">
        <v>781</v>
      </c>
      <c r="R11" s="26" t="s">
        <v>331</v>
      </c>
      <c r="S11" s="24" t="s">
        <v>35</v>
      </c>
      <c r="T11" s="26"/>
      <c r="V11" s="16">
        <f t="shared" si="4"/>
        <v>5.0</v>
      </c>
      <c r="W11" s="28" t="s">
        <v>332</v>
      </c>
      <c r="X11" s="24" t="s">
        <v>782</v>
      </c>
      <c r="Y11" s="26" t="s">
        <v>333</v>
      </c>
      <c r="Z11" s="24" t="s">
        <v>35</v>
      </c>
      <c r="AA11" s="26"/>
      <c r="AG11" s="1"/>
      <c r="AH11" s="1"/>
      <c r="AI11" s="1"/>
      <c r="AJ11" s="1"/>
      <c r="AK11" s="1"/>
      <c r="AL11" s="1"/>
      <c r="AM11" s="1"/>
      <c r="AP11" s="1"/>
    </row>
    <row r="12" spans="8:8" ht="20.1" customHeight="1">
      <c r="A12" s="22">
        <f t="shared" si="1"/>
        <v>6.0</v>
      </c>
      <c r="B12" s="23" t="s">
        <v>334</v>
      </c>
      <c r="C12" s="24" t="s">
        <v>783</v>
      </c>
      <c r="D12" s="26" t="s">
        <v>335</v>
      </c>
      <c r="E12" s="24" t="s">
        <v>30</v>
      </c>
      <c r="F12" s="26"/>
      <c r="H12" s="22">
        <f t="shared" si="2"/>
        <v>6.0</v>
      </c>
      <c r="I12" s="23" t="s">
        <v>336</v>
      </c>
      <c r="J12" s="24" t="s">
        <v>784</v>
      </c>
      <c r="K12" s="26" t="s">
        <v>337</v>
      </c>
      <c r="L12" s="24" t="s">
        <v>30</v>
      </c>
      <c r="M12" s="26"/>
      <c r="O12" s="22">
        <f t="shared" si="3"/>
        <v>6.0</v>
      </c>
      <c r="P12" s="23" t="s">
        <v>338</v>
      </c>
      <c r="Q12" s="24" t="s">
        <v>785</v>
      </c>
      <c r="R12" s="26" t="s">
        <v>339</v>
      </c>
      <c r="S12" s="24" t="s">
        <v>35</v>
      </c>
      <c r="T12" s="26"/>
      <c r="V12" s="16">
        <f t="shared" si="4"/>
        <v>6.0</v>
      </c>
      <c r="W12" s="23" t="s">
        <v>340</v>
      </c>
      <c r="X12" s="24" t="s">
        <v>786</v>
      </c>
      <c r="Y12" s="26" t="s">
        <v>341</v>
      </c>
      <c r="Z12" s="24" t="s">
        <v>35</v>
      </c>
      <c r="AA12" s="26"/>
      <c r="AG12" s="14" t="s">
        <v>11</v>
      </c>
      <c r="AH12" s="15"/>
      <c r="AI12" s="16" t="s">
        <v>19</v>
      </c>
      <c r="AJ12" s="16" t="s">
        <v>20</v>
      </c>
      <c r="AK12" s="16" t="s">
        <v>21</v>
      </c>
      <c r="AL12" s="16" t="s">
        <v>22</v>
      </c>
      <c r="AM12" s="16" t="s">
        <v>23</v>
      </c>
      <c r="AP12" s="1"/>
    </row>
    <row r="13" spans="8:8" ht="20.1" customHeight="1">
      <c r="A13" s="22">
        <f t="shared" si="1"/>
        <v>7.0</v>
      </c>
      <c r="B13" s="23" t="s">
        <v>342</v>
      </c>
      <c r="C13" s="24" t="s">
        <v>787</v>
      </c>
      <c r="D13" s="26" t="s">
        <v>343</v>
      </c>
      <c r="E13" s="24" t="s">
        <v>30</v>
      </c>
      <c r="F13" s="26"/>
      <c r="H13" s="22">
        <f t="shared" si="2"/>
        <v>7.0</v>
      </c>
      <c r="I13" s="23" t="s">
        <v>344</v>
      </c>
      <c r="J13" s="24" t="s">
        <v>788</v>
      </c>
      <c r="K13" s="26" t="s">
        <v>345</v>
      </c>
      <c r="L13" s="24" t="s">
        <v>30</v>
      </c>
      <c r="M13" s="26"/>
      <c r="O13" s="22">
        <f t="shared" si="3"/>
        <v>7.0</v>
      </c>
      <c r="P13" s="23" t="s">
        <v>346</v>
      </c>
      <c r="Q13" s="24" t="s">
        <v>789</v>
      </c>
      <c r="R13" s="26" t="s">
        <v>347</v>
      </c>
      <c r="S13" s="24" t="s">
        <v>35</v>
      </c>
      <c r="T13" s="26"/>
      <c r="V13" s="16">
        <f t="shared" si="4"/>
        <v>7.0</v>
      </c>
      <c r="W13" s="28" t="s">
        <v>348</v>
      </c>
      <c r="X13" s="24" t="s">
        <v>790</v>
      </c>
      <c r="Y13" s="26" t="s">
        <v>349</v>
      </c>
      <c r="Z13" s="24" t="s">
        <v>35</v>
      </c>
      <c r="AA13" s="26"/>
      <c r="AG13" s="16" t="s">
        <v>87</v>
      </c>
      <c r="AH13" s="16" t="s">
        <v>288</v>
      </c>
      <c r="AI13" s="20" t="s">
        <v>350</v>
      </c>
      <c r="AJ13" s="16"/>
      <c r="AK13" s="16">
        <f>D83</f>
        <v>27.0</v>
      </c>
      <c r="AL13" s="16">
        <f>D84</f>
        <v>0.0</v>
      </c>
      <c r="AM13" s="7">
        <f>AK13+AL13</f>
        <v>27.0</v>
      </c>
      <c r="AN13" s="1"/>
      <c r="AP13" s="1"/>
    </row>
    <row r="14" spans="8:8" ht="20.1" customHeight="1">
      <c r="A14" s="22">
        <f t="shared" si="1"/>
        <v>8.0</v>
      </c>
      <c r="B14" s="23" t="s">
        <v>351</v>
      </c>
      <c r="C14" s="24" t="s">
        <v>791</v>
      </c>
      <c r="D14" s="25" t="s">
        <v>352</v>
      </c>
      <c r="E14" s="24" t="s">
        <v>30</v>
      </c>
      <c r="F14" s="26"/>
      <c r="H14" s="22">
        <f t="shared" si="2"/>
        <v>8.0</v>
      </c>
      <c r="I14" s="23" t="s">
        <v>353</v>
      </c>
      <c r="J14" s="24" t="s">
        <v>792</v>
      </c>
      <c r="K14" s="26" t="s">
        <v>354</v>
      </c>
      <c r="L14" s="24" t="s">
        <v>30</v>
      </c>
      <c r="M14" s="26"/>
      <c r="O14" s="22">
        <f t="shared" si="3"/>
        <v>8.0</v>
      </c>
      <c r="P14" s="23" t="s">
        <v>355</v>
      </c>
      <c r="Q14" s="24" t="s">
        <v>793</v>
      </c>
      <c r="R14" s="26" t="s">
        <v>356</v>
      </c>
      <c r="S14" s="24" t="s">
        <v>35</v>
      </c>
      <c r="T14" s="26"/>
      <c r="V14" s="16">
        <f t="shared" si="4"/>
        <v>8.0</v>
      </c>
      <c r="W14" s="23" t="s">
        <v>357</v>
      </c>
      <c r="X14" s="24" t="s">
        <v>794</v>
      </c>
      <c r="Y14" s="26" t="s">
        <v>358</v>
      </c>
      <c r="Z14" s="24" t="s">
        <v>35</v>
      </c>
      <c r="AA14" s="26"/>
      <c r="AG14" s="16" t="s">
        <v>96</v>
      </c>
      <c r="AH14" s="16" t="s">
        <v>298</v>
      </c>
      <c r="AI14" s="20" t="s">
        <v>359</v>
      </c>
      <c r="AJ14" s="16"/>
      <c r="AK14" s="16">
        <f>K83</f>
        <v>22.0</v>
      </c>
      <c r="AL14" s="16">
        <f>K84</f>
        <v>0.0</v>
      </c>
      <c r="AM14" s="7">
        <f>AK14+AL14</f>
        <v>22.0</v>
      </c>
      <c r="AP14" s="1"/>
    </row>
    <row r="15" spans="8:8" ht="20.1" customHeight="1">
      <c r="A15" s="22">
        <f t="shared" si="1"/>
        <v>9.0</v>
      </c>
      <c r="B15" s="23" t="s">
        <v>360</v>
      </c>
      <c r="C15" s="24" t="s">
        <v>795</v>
      </c>
      <c r="D15" s="26" t="s">
        <v>361</v>
      </c>
      <c r="E15" s="24" t="s">
        <v>30</v>
      </c>
      <c r="F15" s="26"/>
      <c r="H15" s="22">
        <f t="shared" si="2"/>
        <v>9.0</v>
      </c>
      <c r="I15" s="23" t="s">
        <v>362</v>
      </c>
      <c r="J15" s="24" t="s">
        <v>796</v>
      </c>
      <c r="K15" s="26" t="s">
        <v>363</v>
      </c>
      <c r="L15" s="24" t="s">
        <v>30</v>
      </c>
      <c r="M15" s="26"/>
      <c r="O15" s="22">
        <f t="shared" si="3"/>
        <v>9.0</v>
      </c>
      <c r="P15" s="23" t="s">
        <v>364</v>
      </c>
      <c r="Q15" s="24" t="s">
        <v>797</v>
      </c>
      <c r="R15" s="26" t="s">
        <v>365</v>
      </c>
      <c r="S15" s="24" t="s">
        <v>35</v>
      </c>
      <c r="T15" s="26"/>
      <c r="V15" s="16">
        <f t="shared" si="4"/>
        <v>9.0</v>
      </c>
      <c r="W15" s="28" t="s">
        <v>366</v>
      </c>
      <c r="X15" s="24" t="s">
        <v>798</v>
      </c>
      <c r="Y15" s="26" t="s">
        <v>367</v>
      </c>
      <c r="Z15" s="24" t="s">
        <v>35</v>
      </c>
      <c r="AA15" s="26"/>
      <c r="AG15" s="16" t="s">
        <v>105</v>
      </c>
      <c r="AH15" s="16" t="s">
        <v>288</v>
      </c>
      <c r="AI15" s="20" t="s">
        <v>368</v>
      </c>
      <c r="AJ15" s="20"/>
      <c r="AK15" s="16">
        <f>R83</f>
        <v>0.0</v>
      </c>
      <c r="AL15" s="16">
        <f>R84</f>
        <v>30.0</v>
      </c>
      <c r="AM15" s="7">
        <f>AK15+AL15</f>
        <v>30.0</v>
      </c>
      <c r="AP15" s="1"/>
    </row>
    <row r="16" spans="8:8" ht="20.1" customHeight="1">
      <c r="A16" s="22">
        <f t="shared" si="1"/>
        <v>10.0</v>
      </c>
      <c r="B16" s="23" t="s">
        <v>369</v>
      </c>
      <c r="C16" s="24" t="s">
        <v>799</v>
      </c>
      <c r="D16" s="26" t="s">
        <v>370</v>
      </c>
      <c r="E16" s="24" t="s">
        <v>30</v>
      </c>
      <c r="F16" s="26"/>
      <c r="H16" s="22">
        <f t="shared" si="2"/>
        <v>10.0</v>
      </c>
      <c r="I16" s="23" t="s">
        <v>371</v>
      </c>
      <c r="J16" s="24" t="s">
        <v>800</v>
      </c>
      <c r="K16" s="26" t="s">
        <v>372</v>
      </c>
      <c r="L16" s="24" t="s">
        <v>30</v>
      </c>
      <c r="M16" s="26"/>
      <c r="O16" s="22">
        <f t="shared" si="3"/>
        <v>10.0</v>
      </c>
      <c r="P16" s="23" t="s">
        <v>373</v>
      </c>
      <c r="Q16" s="24" t="s">
        <v>801</v>
      </c>
      <c r="R16" s="26" t="s">
        <v>374</v>
      </c>
      <c r="S16" s="24" t="s">
        <v>35</v>
      </c>
      <c r="T16" s="26"/>
      <c r="V16" s="16">
        <f t="shared" si="4"/>
        <v>10.0</v>
      </c>
      <c r="W16" s="23" t="s">
        <v>375</v>
      </c>
      <c r="X16" s="24" t="s">
        <v>802</v>
      </c>
      <c r="Y16" s="26" t="s">
        <v>376</v>
      </c>
      <c r="Z16" s="24" t="s">
        <v>35</v>
      </c>
      <c r="AA16" s="26"/>
      <c r="AG16" s="16" t="s">
        <v>377</v>
      </c>
      <c r="AH16" s="16" t="s">
        <v>298</v>
      </c>
      <c r="AI16" s="32" t="s">
        <v>378</v>
      </c>
      <c r="AJ16" s="25"/>
      <c r="AK16" s="16">
        <f>Y83</f>
        <v>0.0</v>
      </c>
      <c r="AL16" s="16">
        <f>Y84</f>
        <v>26.0</v>
      </c>
      <c r="AM16" s="7">
        <f>AK16+AL16</f>
        <v>26.0</v>
      </c>
      <c r="AP16" s="1"/>
    </row>
    <row r="17" spans="8:8" ht="20.1" customHeight="1">
      <c r="A17" s="22">
        <f t="shared" si="1"/>
        <v>11.0</v>
      </c>
      <c r="B17" s="23" t="s">
        <v>379</v>
      </c>
      <c r="C17" s="24" t="s">
        <v>803</v>
      </c>
      <c r="D17" s="26" t="s">
        <v>380</v>
      </c>
      <c r="E17" s="24" t="s">
        <v>30</v>
      </c>
      <c r="F17" s="26"/>
      <c r="H17" s="22">
        <f t="shared" si="2"/>
        <v>11.0</v>
      </c>
      <c r="I17" s="23" t="s">
        <v>381</v>
      </c>
      <c r="J17" s="24" t="s">
        <v>804</v>
      </c>
      <c r="K17" s="25" t="s">
        <v>382</v>
      </c>
      <c r="L17" s="24" t="s">
        <v>30</v>
      </c>
      <c r="M17" s="26"/>
      <c r="O17" s="22">
        <f t="shared" si="3"/>
        <v>11.0</v>
      </c>
      <c r="P17" s="23" t="s">
        <v>383</v>
      </c>
      <c r="Q17" s="24" t="s">
        <v>805</v>
      </c>
      <c r="R17" s="26" t="s">
        <v>384</v>
      </c>
      <c r="S17" s="24" t="s">
        <v>35</v>
      </c>
      <c r="T17" s="26"/>
      <c r="V17" s="16">
        <f t="shared" si="4"/>
        <v>11.0</v>
      </c>
      <c r="W17" s="28" t="s">
        <v>385</v>
      </c>
      <c r="X17" s="24" t="s">
        <v>806</v>
      </c>
      <c r="Y17" s="26" t="s">
        <v>386</v>
      </c>
      <c r="Z17" s="24" t="s">
        <v>35</v>
      </c>
      <c r="AA17" s="26"/>
      <c r="AG17" s="30" t="s">
        <v>62</v>
      </c>
      <c r="AH17" s="30"/>
      <c r="AI17" s="30"/>
      <c r="AJ17" s="7"/>
      <c r="AK17" s="7">
        <f>SUM(AK13:AK16)</f>
        <v>49.0</v>
      </c>
      <c r="AL17" s="7">
        <f>SUM(AL13:AL16)</f>
        <v>56.0</v>
      </c>
      <c r="AM17" s="7">
        <f>SUM(AM13:AM16)</f>
        <v>105.0</v>
      </c>
      <c r="AN17" s="1"/>
      <c r="AP17" s="1"/>
    </row>
    <row r="18" spans="8:8" ht="20.1" customHeight="1">
      <c r="A18" s="22">
        <f t="shared" si="1"/>
        <v>12.0</v>
      </c>
      <c r="B18" s="23" t="s">
        <v>387</v>
      </c>
      <c r="C18" s="24" t="s">
        <v>807</v>
      </c>
      <c r="D18" s="26" t="s">
        <v>388</v>
      </c>
      <c r="E18" s="24" t="s">
        <v>30</v>
      </c>
      <c r="F18" s="26"/>
      <c r="H18" s="22">
        <f t="shared" si="2"/>
        <v>12.0</v>
      </c>
      <c r="I18" s="23" t="s">
        <v>389</v>
      </c>
      <c r="J18" s="24" t="s">
        <v>808</v>
      </c>
      <c r="K18" s="26" t="s">
        <v>390</v>
      </c>
      <c r="L18" s="24" t="s">
        <v>30</v>
      </c>
      <c r="M18" s="26"/>
      <c r="O18" s="22">
        <f t="shared" si="3"/>
        <v>12.0</v>
      </c>
      <c r="P18" s="23" t="s">
        <v>391</v>
      </c>
      <c r="Q18" s="24" t="s">
        <v>809</v>
      </c>
      <c r="R18" s="26" t="s">
        <v>392</v>
      </c>
      <c r="S18" s="24" t="s">
        <v>35</v>
      </c>
      <c r="T18" s="26"/>
      <c r="V18" s="16">
        <f t="shared" si="4"/>
        <v>12.0</v>
      </c>
      <c r="W18" s="23" t="s">
        <v>393</v>
      </c>
      <c r="X18" s="24" t="s">
        <v>810</v>
      </c>
      <c r="Y18" s="26" t="s">
        <v>394</v>
      </c>
      <c r="Z18" s="24" t="s">
        <v>35</v>
      </c>
      <c r="AA18" s="26"/>
      <c r="AG18" s="1"/>
      <c r="AH18" s="1"/>
      <c r="AI18" s="1"/>
      <c r="AJ18" s="1"/>
      <c r="AK18" s="1"/>
      <c r="AL18" s="1"/>
      <c r="AM18" s="1"/>
      <c r="AN18" s="1"/>
      <c r="AP18" s="1"/>
    </row>
    <row r="19" spans="8:8" ht="20.1" customHeight="1">
      <c r="A19" s="22">
        <f t="shared" si="1"/>
        <v>13.0</v>
      </c>
      <c r="B19" s="23" t="s">
        <v>395</v>
      </c>
      <c r="C19" s="24" t="s">
        <v>811</v>
      </c>
      <c r="D19" s="26" t="s">
        <v>396</v>
      </c>
      <c r="E19" s="24" t="s">
        <v>30</v>
      </c>
      <c r="F19" s="26"/>
      <c r="H19" s="22">
        <f t="shared" si="2"/>
        <v>13.0</v>
      </c>
      <c r="I19" s="23" t="s">
        <v>397</v>
      </c>
      <c r="J19" s="24" t="s">
        <v>812</v>
      </c>
      <c r="K19" s="26" t="s">
        <v>398</v>
      </c>
      <c r="L19" s="24" t="s">
        <v>30</v>
      </c>
      <c r="M19" s="26"/>
      <c r="O19" s="22">
        <f t="shared" si="3"/>
        <v>13.0</v>
      </c>
      <c r="P19" s="23" t="s">
        <v>399</v>
      </c>
      <c r="Q19" s="24" t="s">
        <v>813</v>
      </c>
      <c r="R19" s="26" t="s">
        <v>400</v>
      </c>
      <c r="S19" s="24" t="s">
        <v>35</v>
      </c>
      <c r="T19" s="26"/>
      <c r="V19" s="16">
        <f t="shared" si="4"/>
        <v>13.0</v>
      </c>
      <c r="W19" s="28" t="s">
        <v>401</v>
      </c>
      <c r="X19" s="24" t="s">
        <v>814</v>
      </c>
      <c r="Y19" s="26" t="s">
        <v>402</v>
      </c>
      <c r="Z19" s="24" t="s">
        <v>35</v>
      </c>
      <c r="AA19" s="26"/>
      <c r="AG19" s="14" t="s">
        <v>11</v>
      </c>
      <c r="AH19" s="15"/>
      <c r="AI19" s="16" t="s">
        <v>19</v>
      </c>
      <c r="AJ19" s="16" t="s">
        <v>20</v>
      </c>
      <c r="AK19" s="16" t="s">
        <v>21</v>
      </c>
      <c r="AL19" s="16" t="s">
        <v>22</v>
      </c>
      <c r="AM19" s="16" t="s">
        <v>23</v>
      </c>
      <c r="AN19" s="1"/>
      <c r="AP19" s="1"/>
    </row>
    <row r="20" spans="8:8" ht="20.1" customHeight="1">
      <c r="A20" s="22">
        <f t="shared" si="1"/>
        <v>14.0</v>
      </c>
      <c r="B20" s="23" t="s">
        <v>403</v>
      </c>
      <c r="C20" s="24" t="s">
        <v>815</v>
      </c>
      <c r="D20" s="26" t="s">
        <v>404</v>
      </c>
      <c r="E20" s="24" t="s">
        <v>30</v>
      </c>
      <c r="F20" s="26"/>
      <c r="H20" s="22">
        <f t="shared" si="2"/>
        <v>14.0</v>
      </c>
      <c r="I20" s="23" t="s">
        <v>405</v>
      </c>
      <c r="J20" s="24" t="s">
        <v>816</v>
      </c>
      <c r="K20" s="26" t="s">
        <v>406</v>
      </c>
      <c r="L20" s="24" t="s">
        <v>30</v>
      </c>
      <c r="M20" s="26"/>
      <c r="O20" s="22">
        <f t="shared" si="3"/>
        <v>14.0</v>
      </c>
      <c r="P20" s="23" t="s">
        <v>407</v>
      </c>
      <c r="Q20" s="24" t="s">
        <v>817</v>
      </c>
      <c r="R20" s="26" t="s">
        <v>408</v>
      </c>
      <c r="S20" s="24" t="s">
        <v>35</v>
      </c>
      <c r="T20" s="26"/>
      <c r="V20" s="16">
        <f t="shared" si="4"/>
        <v>14.0</v>
      </c>
      <c r="W20" s="23" t="s">
        <v>409</v>
      </c>
      <c r="X20" s="24" t="s">
        <v>818</v>
      </c>
      <c r="Y20" s="26" t="s">
        <v>410</v>
      </c>
      <c r="Z20" s="24" t="s">
        <v>35</v>
      </c>
      <c r="AA20" s="26"/>
      <c r="AG20" s="16" t="s">
        <v>136</v>
      </c>
      <c r="AH20" s="16" t="s">
        <v>288</v>
      </c>
      <c r="AI20" s="20" t="s">
        <v>411</v>
      </c>
      <c r="AJ20" s="21"/>
      <c r="AK20" s="16">
        <f>D124</f>
        <v>31.0</v>
      </c>
      <c r="AL20" s="16">
        <f>D125</f>
        <v>0.0</v>
      </c>
      <c r="AM20" s="7">
        <f>AK20+AL20</f>
        <v>31.0</v>
      </c>
    </row>
    <row r="21" spans="8:8" ht="20.1" customHeight="1">
      <c r="A21" s="22">
        <f t="shared" si="1"/>
        <v>15.0</v>
      </c>
      <c r="B21" s="23" t="s">
        <v>412</v>
      </c>
      <c r="C21" s="24" t="s">
        <v>819</v>
      </c>
      <c r="D21" s="26" t="s">
        <v>413</v>
      </c>
      <c r="E21" s="24" t="s">
        <v>30</v>
      </c>
      <c r="F21" s="26"/>
      <c r="H21" s="22">
        <f t="shared" si="2"/>
        <v>15.0</v>
      </c>
      <c r="I21" s="23" t="s">
        <v>414</v>
      </c>
      <c r="J21" s="24" t="s">
        <v>820</v>
      </c>
      <c r="K21" s="26" t="s">
        <v>415</v>
      </c>
      <c r="L21" s="24" t="s">
        <v>30</v>
      </c>
      <c r="M21" s="26"/>
      <c r="O21" s="22">
        <f t="shared" si="3"/>
        <v>15.0</v>
      </c>
      <c r="P21" s="23" t="s">
        <v>416</v>
      </c>
      <c r="Q21" s="24" t="s">
        <v>821</v>
      </c>
      <c r="R21" s="26" t="s">
        <v>417</v>
      </c>
      <c r="S21" s="24" t="s">
        <v>35</v>
      </c>
      <c r="T21" s="26"/>
      <c r="V21" s="16">
        <f t="shared" si="4"/>
        <v>15.0</v>
      </c>
      <c r="W21" s="28" t="s">
        <v>418</v>
      </c>
      <c r="X21" s="24" t="s">
        <v>822</v>
      </c>
      <c r="Y21" s="26" t="s">
        <v>419</v>
      </c>
      <c r="Z21" s="24" t="s">
        <v>35</v>
      </c>
      <c r="AA21" s="26"/>
      <c r="AG21" s="16" t="s">
        <v>145</v>
      </c>
      <c r="AH21" s="16" t="s">
        <v>298</v>
      </c>
      <c r="AI21" s="27" t="s">
        <v>420</v>
      </c>
      <c r="AJ21" s="25"/>
      <c r="AK21" s="16">
        <f>K124</f>
        <v>28.0</v>
      </c>
      <c r="AL21" s="16">
        <f>K125</f>
        <v>0.0</v>
      </c>
      <c r="AM21" s="7">
        <f>AK21+AL21</f>
        <v>28.0</v>
      </c>
    </row>
    <row r="22" spans="8:8" ht="20.1" customHeight="1">
      <c r="A22" s="22">
        <f t="shared" si="1"/>
        <v>16.0</v>
      </c>
      <c r="B22" s="23" t="s">
        <v>421</v>
      </c>
      <c r="C22" s="24" t="s">
        <v>823</v>
      </c>
      <c r="D22" s="26" t="s">
        <v>422</v>
      </c>
      <c r="E22" s="24" t="s">
        <v>30</v>
      </c>
      <c r="F22" s="26"/>
      <c r="H22" s="22">
        <f t="shared" si="2"/>
        <v>16.0</v>
      </c>
      <c r="I22" s="23" t="s">
        <v>423</v>
      </c>
      <c r="J22" s="24" t="s">
        <v>824</v>
      </c>
      <c r="K22" s="26" t="s">
        <v>424</v>
      </c>
      <c r="L22" s="24" t="s">
        <v>30</v>
      </c>
      <c r="M22" s="26"/>
      <c r="O22" s="22">
        <f t="shared" si="3"/>
        <v>16.0</v>
      </c>
      <c r="P22" s="23" t="s">
        <v>425</v>
      </c>
      <c r="Q22" s="24" t="s">
        <v>825</v>
      </c>
      <c r="R22" s="26" t="s">
        <v>426</v>
      </c>
      <c r="S22" s="24" t="s">
        <v>35</v>
      </c>
      <c r="T22" s="26"/>
      <c r="V22" s="16">
        <f t="shared" si="4"/>
        <v>16.0</v>
      </c>
      <c r="W22" s="23" t="s">
        <v>427</v>
      </c>
      <c r="X22" s="24" t="s">
        <v>826</v>
      </c>
      <c r="Y22" s="26" t="s">
        <v>428</v>
      </c>
      <c r="Z22" s="24" t="s">
        <v>35</v>
      </c>
      <c r="AA22" s="26"/>
      <c r="AG22" s="16" t="s">
        <v>154</v>
      </c>
      <c r="AH22" s="16" t="s">
        <v>288</v>
      </c>
      <c r="AI22" s="29" t="s">
        <v>429</v>
      </c>
      <c r="AJ22" s="20"/>
      <c r="AK22" s="16">
        <f>R124</f>
        <v>0.0</v>
      </c>
      <c r="AL22" s="16">
        <f>R125</f>
        <v>30.0</v>
      </c>
      <c r="AM22" s="7">
        <f>AK22+AL22</f>
        <v>30.0</v>
      </c>
    </row>
    <row r="23" spans="8:8" ht="20.1" customHeight="1">
      <c r="A23" s="22">
        <f t="shared" si="1"/>
        <v>17.0</v>
      </c>
      <c r="B23" s="23" t="s">
        <v>430</v>
      </c>
      <c r="C23" s="24" t="s">
        <v>827</v>
      </c>
      <c r="D23" s="26" t="s">
        <v>431</v>
      </c>
      <c r="E23" s="24" t="s">
        <v>30</v>
      </c>
      <c r="F23" s="26"/>
      <c r="H23" s="22">
        <f t="shared" si="2"/>
        <v>17.0</v>
      </c>
      <c r="I23" s="23" t="s">
        <v>432</v>
      </c>
      <c r="J23" s="24" t="s">
        <v>828</v>
      </c>
      <c r="K23" s="26" t="s">
        <v>433</v>
      </c>
      <c r="L23" s="24" t="s">
        <v>30</v>
      </c>
      <c r="M23" s="26"/>
      <c r="O23" s="22">
        <f t="shared" si="3"/>
        <v>17.0</v>
      </c>
      <c r="P23" s="23" t="s">
        <v>434</v>
      </c>
      <c r="Q23" s="24" t="s">
        <v>829</v>
      </c>
      <c r="R23" s="26" t="s">
        <v>435</v>
      </c>
      <c r="S23" s="24" t="s">
        <v>35</v>
      </c>
      <c r="T23" s="26"/>
      <c r="V23" s="16">
        <f t="shared" si="4"/>
        <v>17.0</v>
      </c>
      <c r="W23" s="28" t="s">
        <v>436</v>
      </c>
      <c r="X23" s="24" t="s">
        <v>830</v>
      </c>
      <c r="Y23" s="26" t="s">
        <v>437</v>
      </c>
      <c r="Z23" s="24" t="s">
        <v>35</v>
      </c>
      <c r="AA23" s="26"/>
      <c r="AG23" s="16" t="s">
        <v>438</v>
      </c>
      <c r="AH23" s="16" t="s">
        <v>298</v>
      </c>
      <c r="AI23" s="27" t="s">
        <v>439</v>
      </c>
      <c r="AJ23" s="20"/>
      <c r="AK23" s="16">
        <f>Y124</f>
        <v>0.0</v>
      </c>
      <c r="AL23" s="16">
        <f>Y125</f>
        <v>27.0</v>
      </c>
      <c r="AM23" s="7">
        <f>AK23+AL23</f>
        <v>27.0</v>
      </c>
    </row>
    <row r="24" spans="8:8" ht="20.1" customHeight="1">
      <c r="A24" s="22">
        <f t="shared" si="1"/>
        <v>18.0</v>
      </c>
      <c r="B24" s="23" t="s">
        <v>440</v>
      </c>
      <c r="C24" s="24" t="s">
        <v>831</v>
      </c>
      <c r="D24" s="26" t="s">
        <v>441</v>
      </c>
      <c r="E24" s="24" t="s">
        <v>30</v>
      </c>
      <c r="F24" s="26"/>
      <c r="H24" s="22">
        <f t="shared" si="2"/>
        <v>18.0</v>
      </c>
      <c r="I24" s="23" t="s">
        <v>442</v>
      </c>
      <c r="J24" s="24" t="s">
        <v>832</v>
      </c>
      <c r="K24" s="26" t="s">
        <v>443</v>
      </c>
      <c r="L24" s="24" t="s">
        <v>30</v>
      </c>
      <c r="M24" s="26"/>
      <c r="O24" s="22">
        <f t="shared" si="3"/>
        <v>18.0</v>
      </c>
      <c r="P24" s="23" t="s">
        <v>444</v>
      </c>
      <c r="Q24" s="24" t="s">
        <v>833</v>
      </c>
      <c r="R24" s="26" t="s">
        <v>445</v>
      </c>
      <c r="S24" s="24" t="s">
        <v>35</v>
      </c>
      <c r="T24" s="26"/>
      <c r="V24" s="16">
        <f t="shared" si="4"/>
        <v>18.0</v>
      </c>
      <c r="W24" s="23" t="s">
        <v>446</v>
      </c>
      <c r="X24" s="24" t="s">
        <v>834</v>
      </c>
      <c r="Y24" s="26" t="s">
        <v>447</v>
      </c>
      <c r="Z24" s="24" t="s">
        <v>35</v>
      </c>
      <c r="AA24" s="26"/>
      <c r="AG24" s="30" t="s">
        <v>62</v>
      </c>
      <c r="AH24" s="30"/>
      <c r="AI24" s="30"/>
      <c r="AJ24" s="7"/>
      <c r="AK24" s="7">
        <f>SUM(AK20:AK23)</f>
        <v>59.0</v>
      </c>
      <c r="AL24" s="7">
        <f>SUM(AL20:AL23)</f>
        <v>57.0</v>
      </c>
      <c r="AM24" s="7">
        <f>SUM(AM20:AM23)</f>
        <v>116.0</v>
      </c>
    </row>
    <row r="25" spans="8:8" ht="20.1" customHeight="1">
      <c r="A25" s="22">
        <f t="shared" si="1"/>
        <v>19.0</v>
      </c>
      <c r="B25" s="23" t="s">
        <v>448</v>
      </c>
      <c r="C25" s="24" t="s">
        <v>835</v>
      </c>
      <c r="D25" s="26" t="s">
        <v>449</v>
      </c>
      <c r="E25" s="24" t="s">
        <v>30</v>
      </c>
      <c r="F25" s="26"/>
      <c r="H25" s="22">
        <f t="shared" si="2"/>
        <v>19.0</v>
      </c>
      <c r="I25" s="23" t="s">
        <v>450</v>
      </c>
      <c r="J25" s="24" t="s">
        <v>836</v>
      </c>
      <c r="K25" s="26" t="s">
        <v>451</v>
      </c>
      <c r="L25" s="24" t="s">
        <v>30</v>
      </c>
      <c r="M25" s="26"/>
      <c r="O25" s="22">
        <f t="shared" si="3"/>
        <v>19.0</v>
      </c>
      <c r="P25" s="23" t="s">
        <v>452</v>
      </c>
      <c r="Q25" s="24" t="s">
        <v>837</v>
      </c>
      <c r="R25" s="26" t="s">
        <v>453</v>
      </c>
      <c r="S25" s="24" t="s">
        <v>35</v>
      </c>
      <c r="T25" s="26"/>
      <c r="V25" s="16">
        <f t="shared" si="4"/>
        <v>19.0</v>
      </c>
      <c r="W25" s="28" t="s">
        <v>454</v>
      </c>
      <c r="X25" s="24" t="s">
        <v>838</v>
      </c>
      <c r="Y25" s="26" t="s">
        <v>455</v>
      </c>
      <c r="Z25" s="24" t="s">
        <v>35</v>
      </c>
      <c r="AA25" s="26"/>
    </row>
    <row r="26" spans="8:8" ht="20.1" customHeight="1">
      <c r="A26" s="22">
        <f t="shared" si="1"/>
        <v>20.0</v>
      </c>
      <c r="B26" s="23" t="s">
        <v>456</v>
      </c>
      <c r="C26" s="24" t="s">
        <v>839</v>
      </c>
      <c r="D26" s="26" t="s">
        <v>457</v>
      </c>
      <c r="E26" s="24" t="s">
        <v>30</v>
      </c>
      <c r="F26" s="26"/>
      <c r="H26" s="22">
        <f t="shared" si="2"/>
        <v>20.0</v>
      </c>
      <c r="I26" s="23" t="s">
        <v>458</v>
      </c>
      <c r="J26" s="24" t="s">
        <v>840</v>
      </c>
      <c r="K26" s="26" t="s">
        <v>459</v>
      </c>
      <c r="L26" s="24" t="s">
        <v>30</v>
      </c>
      <c r="M26" s="26"/>
      <c r="O26" s="22">
        <f t="shared" si="3"/>
        <v>20.0</v>
      </c>
      <c r="P26" s="23" t="s">
        <v>460</v>
      </c>
      <c r="Q26" s="24" t="s">
        <v>841</v>
      </c>
      <c r="R26" s="26" t="s">
        <v>461</v>
      </c>
      <c r="S26" s="24" t="s">
        <v>35</v>
      </c>
      <c r="T26" s="26"/>
      <c r="V26" s="16">
        <f t="shared" si="4"/>
        <v>20.0</v>
      </c>
      <c r="W26" s="23" t="s">
        <v>462</v>
      </c>
      <c r="X26" s="24" t="s">
        <v>842</v>
      </c>
      <c r="Y26" s="26" t="s">
        <v>463</v>
      </c>
      <c r="Z26" s="24" t="s">
        <v>35</v>
      </c>
      <c r="AA26" s="26"/>
      <c r="AG26" s="33" t="s">
        <v>179</v>
      </c>
      <c r="AH26" s="34"/>
      <c r="AI26" s="34"/>
      <c r="AJ26" s="35"/>
      <c r="AK26" s="36">
        <f>AK10+AK17+AK24</f>
        <v>172.0</v>
      </c>
      <c r="AL26" s="36">
        <f>AL10+AL17+AL24</f>
        <v>166.0</v>
      </c>
      <c r="AM26" s="36">
        <f>AM10+AM17+AM24</f>
        <v>338.0</v>
      </c>
    </row>
    <row r="27" spans="8:8" ht="20.1" customHeight="1">
      <c r="A27" s="22">
        <f t="shared" si="1"/>
        <v>21.0</v>
      </c>
      <c r="B27" s="23" t="s">
        <v>464</v>
      </c>
      <c r="C27" s="24" t="s">
        <v>843</v>
      </c>
      <c r="D27" s="26" t="s">
        <v>465</v>
      </c>
      <c r="E27" s="24" t="s">
        <v>30</v>
      </c>
      <c r="F27" s="26"/>
      <c r="H27" s="22">
        <f t="shared" si="2"/>
        <v>21.0</v>
      </c>
      <c r="I27" s="23" t="s">
        <v>466</v>
      </c>
      <c r="J27" s="24" t="s">
        <v>844</v>
      </c>
      <c r="K27" s="26" t="s">
        <v>467</v>
      </c>
      <c r="L27" s="24" t="s">
        <v>30</v>
      </c>
      <c r="M27" s="26"/>
      <c r="O27" s="22">
        <f t="shared" si="3"/>
        <v>21.0</v>
      </c>
      <c r="P27" s="23" t="s">
        <v>468</v>
      </c>
      <c r="Q27" s="24" t="s">
        <v>845</v>
      </c>
      <c r="R27" s="26" t="s">
        <v>469</v>
      </c>
      <c r="S27" s="24" t="s">
        <v>35</v>
      </c>
      <c r="T27" s="26"/>
      <c r="V27" s="16">
        <f t="shared" si="4"/>
        <v>21.0</v>
      </c>
      <c r="W27" s="28" t="s">
        <v>470</v>
      </c>
      <c r="X27" s="24" t="s">
        <v>846</v>
      </c>
      <c r="Y27" s="26" t="s">
        <v>471</v>
      </c>
      <c r="Z27" s="24" t="s">
        <v>35</v>
      </c>
      <c r="AA27" s="26"/>
      <c r="AK27" s="37"/>
      <c r="AL27" s="37"/>
      <c r="AM27" s="37"/>
    </row>
    <row r="28" spans="8:8" ht="20.1" customHeight="1">
      <c r="A28" s="22">
        <f t="shared" si="1"/>
        <v>22.0</v>
      </c>
      <c r="B28" s="23" t="s">
        <v>472</v>
      </c>
      <c r="C28" s="24" t="s">
        <v>847</v>
      </c>
      <c r="D28" s="26" t="s">
        <v>473</v>
      </c>
      <c r="E28" s="24" t="s">
        <v>30</v>
      </c>
      <c r="F28" s="26"/>
      <c r="H28" s="22">
        <f t="shared" si="2"/>
        <v>22.0</v>
      </c>
      <c r="I28" s="23" t="s">
        <v>474</v>
      </c>
      <c r="J28" s="24" t="s">
        <v>848</v>
      </c>
      <c r="K28" s="26" t="s">
        <v>475</v>
      </c>
      <c r="L28" s="24" t="s">
        <v>30</v>
      </c>
      <c r="M28" s="26"/>
      <c r="O28" s="22">
        <f t="shared" si="3"/>
        <v>22.0</v>
      </c>
      <c r="P28" s="23" t="s">
        <v>476</v>
      </c>
      <c r="Q28" s="24" t="s">
        <v>849</v>
      </c>
      <c r="R28" s="26" t="s">
        <v>477</v>
      </c>
      <c r="S28" s="24" t="s">
        <v>35</v>
      </c>
      <c r="T28" s="26"/>
      <c r="V28" s="16">
        <f t="shared" si="4"/>
        <v>22.0</v>
      </c>
      <c r="W28" s="23" t="s">
        <v>478</v>
      </c>
      <c r="X28" s="24" t="s">
        <v>850</v>
      </c>
      <c r="Y28" s="26" t="s">
        <v>479</v>
      </c>
      <c r="Z28" s="24" t="s">
        <v>35</v>
      </c>
      <c r="AA28" s="26"/>
      <c r="AK28" s="38" t="str">
        <f>"Cirebon, "&amp;TEXT(TODAY(),"d mmmm yyyy")</f>
        <v>Cirebon, 11 January 2026</v>
      </c>
      <c r="AL28" s="38"/>
      <c r="AM28" s="38"/>
    </row>
    <row r="29" spans="8:8" ht="20.1" customHeight="1">
      <c r="A29" s="22">
        <f t="shared" si="1"/>
        <v>23.0</v>
      </c>
      <c r="B29" s="23" t="s">
        <v>480</v>
      </c>
      <c r="C29" s="24" t="s">
        <v>851</v>
      </c>
      <c r="D29" s="26" t="s">
        <v>481</v>
      </c>
      <c r="E29" s="24" t="s">
        <v>30</v>
      </c>
      <c r="F29" s="26"/>
      <c r="H29" s="22">
        <f t="shared" si="2"/>
        <v>23.0</v>
      </c>
      <c r="I29" s="23" t="s">
        <v>482</v>
      </c>
      <c r="J29" s="24" t="s">
        <v>852</v>
      </c>
      <c r="K29" s="26" t="s">
        <v>483</v>
      </c>
      <c r="L29" s="24" t="s">
        <v>30</v>
      </c>
      <c r="M29" s="26"/>
      <c r="O29" s="22">
        <f t="shared" si="3"/>
        <v>23.0</v>
      </c>
      <c r="P29" s="23" t="s">
        <v>484</v>
      </c>
      <c r="Q29" s="24" t="s">
        <v>853</v>
      </c>
      <c r="R29" s="26" t="s">
        <v>485</v>
      </c>
      <c r="S29" s="24" t="s">
        <v>35</v>
      </c>
      <c r="T29" s="26"/>
      <c r="V29" s="16">
        <f t="shared" si="4"/>
        <v>23.0</v>
      </c>
      <c r="W29" s="28" t="s">
        <v>486</v>
      </c>
      <c r="X29" s="24" t="s">
        <v>854</v>
      </c>
      <c r="Y29" s="26" t="s">
        <v>487</v>
      </c>
      <c r="Z29" s="24" t="s">
        <v>35</v>
      </c>
      <c r="AA29" s="26"/>
      <c r="AK29" s="38" t="s">
        <v>285</v>
      </c>
      <c r="AL29" s="38"/>
      <c r="AM29" s="38"/>
    </row>
    <row r="30" spans="8:8" ht="20.1" customHeight="1">
      <c r="A30" s="22">
        <f t="shared" si="1"/>
        <v>24.0</v>
      </c>
      <c r="B30" s="23" t="s">
        <v>488</v>
      </c>
      <c r="C30" s="24" t="s">
        <v>855</v>
      </c>
      <c r="D30" s="26" t="s">
        <v>489</v>
      </c>
      <c r="E30" s="24" t="s">
        <v>30</v>
      </c>
      <c r="F30" s="26"/>
      <c r="H30" s="22">
        <f t="shared" si="2"/>
        <v>24.0</v>
      </c>
      <c r="I30" s="23" t="s">
        <v>490</v>
      </c>
      <c r="J30" s="24" t="s">
        <v>856</v>
      </c>
      <c r="K30" s="26" t="s">
        <v>491</v>
      </c>
      <c r="L30" s="24" t="s">
        <v>30</v>
      </c>
      <c r="M30" s="26"/>
      <c r="O30" s="22">
        <f t="shared" si="3"/>
        <v>24.0</v>
      </c>
      <c r="P30" s="23" t="s">
        <v>492</v>
      </c>
      <c r="Q30" s="24" t="s">
        <v>857</v>
      </c>
      <c r="R30" s="26" t="s">
        <v>493</v>
      </c>
      <c r="S30" s="24" t="s">
        <v>35</v>
      </c>
      <c r="T30" s="26"/>
      <c r="V30" s="16">
        <f t="shared" si="4"/>
        <v>24.0</v>
      </c>
      <c r="W30" s="23" t="s">
        <v>494</v>
      </c>
      <c r="X30" s="24" t="s">
        <v>858</v>
      </c>
      <c r="Y30" s="26" t="s">
        <v>495</v>
      </c>
      <c r="Z30" s="24" t="s">
        <v>35</v>
      </c>
      <c r="AA30" s="26"/>
      <c r="AK30" s="38"/>
      <c r="AL30" s="38"/>
      <c r="AM30" s="38"/>
    </row>
    <row r="31" spans="8:8" ht="20.1" customHeight="1">
      <c r="A31" s="22">
        <f t="shared" si="1"/>
        <v>25.0</v>
      </c>
      <c r="B31" s="23" t="s">
        <v>496</v>
      </c>
      <c r="C31" s="24" t="s">
        <v>859</v>
      </c>
      <c r="D31" s="26" t="s">
        <v>497</v>
      </c>
      <c r="E31" s="24" t="s">
        <v>30</v>
      </c>
      <c r="F31" s="26"/>
      <c r="H31" s="22">
        <f t="shared" si="2"/>
        <v>25.0</v>
      </c>
      <c r="I31" s="23" t="s">
        <v>498</v>
      </c>
      <c r="J31" s="24" t="s">
        <v>860</v>
      </c>
      <c r="K31" s="26" t="s">
        <v>499</v>
      </c>
      <c r="L31" s="24" t="s">
        <v>30</v>
      </c>
      <c r="M31" s="24"/>
      <c r="O31" s="22">
        <f t="shared" si="3"/>
        <v>25.0</v>
      </c>
      <c r="P31" s="23" t="s">
        <v>500</v>
      </c>
      <c r="Q31" s="24" t="s">
        <v>861</v>
      </c>
      <c r="R31" s="21" t="s">
        <v>501</v>
      </c>
      <c r="S31" s="24" t="s">
        <v>35</v>
      </c>
      <c r="T31" s="26"/>
      <c r="V31" s="16">
        <f t="shared" si="4"/>
        <v>25.0</v>
      </c>
      <c r="W31" s="28" t="s">
        <v>502</v>
      </c>
      <c r="X31" s="24" t="s">
        <v>862</v>
      </c>
      <c r="Y31" s="26" t="s">
        <v>503</v>
      </c>
      <c r="Z31" s="24" t="s">
        <v>35</v>
      </c>
      <c r="AA31" s="39"/>
      <c r="AK31" s="38"/>
      <c r="AL31" s="38"/>
      <c r="AM31" s="38"/>
    </row>
    <row r="32" spans="8:8" ht="20.1" customHeight="1">
      <c r="A32" s="22">
        <f t="shared" si="1"/>
        <v>26.0</v>
      </c>
      <c r="B32" s="23" t="s">
        <v>504</v>
      </c>
      <c r="C32" s="24" t="s">
        <v>863</v>
      </c>
      <c r="D32" s="26" t="s">
        <v>505</v>
      </c>
      <c r="E32" s="24" t="s">
        <v>30</v>
      </c>
      <c r="F32" s="26"/>
      <c r="H32" s="22">
        <f t="shared" si="2"/>
        <v>26.0</v>
      </c>
      <c r="I32" s="23" t="s">
        <v>506</v>
      </c>
      <c r="J32" s="24" t="s">
        <v>864</v>
      </c>
      <c r="K32" s="26" t="s">
        <v>507</v>
      </c>
      <c r="L32" s="24" t="s">
        <v>30</v>
      </c>
      <c r="M32" s="24"/>
      <c r="O32" s="22">
        <f t="shared" si="3"/>
        <v>26.0</v>
      </c>
      <c r="P32" s="23" t="s">
        <v>508</v>
      </c>
      <c r="Q32" s="24" t="s">
        <v>865</v>
      </c>
      <c r="R32" s="21" t="s">
        <v>509</v>
      </c>
      <c r="S32" s="24" t="s">
        <v>35</v>
      </c>
      <c r="T32" s="26"/>
      <c r="V32" s="16">
        <f t="shared" si="4"/>
        <v>26.0</v>
      </c>
      <c r="W32" s="23" t="s">
        <v>510</v>
      </c>
      <c r="X32" s="24" t="s">
        <v>866</v>
      </c>
      <c r="Y32" s="26" t="s">
        <v>511</v>
      </c>
      <c r="Z32" s="24" t="s">
        <v>35</v>
      </c>
      <c r="AA32" s="39"/>
      <c r="AK32" s="38"/>
      <c r="AL32" s="38"/>
      <c r="AM32" s="38"/>
    </row>
    <row r="33" spans="8:8" ht="20.1" customHeight="1">
      <c r="A33" s="22">
        <f t="shared" si="1"/>
        <v>27.0</v>
      </c>
      <c r="B33" s="23" t="s">
        <v>512</v>
      </c>
      <c r="C33" s="24" t="s">
        <v>867</v>
      </c>
      <c r="D33" s="26" t="s">
        <v>513</v>
      </c>
      <c r="E33" s="24" t="s">
        <v>30</v>
      </c>
      <c r="F33" s="26"/>
      <c r="H33" s="22">
        <f t="shared" si="2"/>
        <v>27.0</v>
      </c>
      <c r="I33" s="23" t="s">
        <v>514</v>
      </c>
      <c r="J33" s="24" t="s">
        <v>868</v>
      </c>
      <c r="K33" s="26" t="s">
        <v>515</v>
      </c>
      <c r="L33" s="24" t="s">
        <v>30</v>
      </c>
      <c r="M33" s="24"/>
      <c r="O33" s="22">
        <f t="shared" si="3"/>
        <v>27.0</v>
      </c>
      <c r="P33" s="23">
        <v>2.52907124E8</v>
      </c>
      <c r="Q33" s="40" t="s">
        <v>869</v>
      </c>
      <c r="R33" s="26" t="s">
        <v>870</v>
      </c>
      <c r="S33" s="24" t="s">
        <v>35</v>
      </c>
      <c r="T33" s="26"/>
      <c r="V33" s="16" t="str">
        <f t="shared" si="4"/>
        <v/>
      </c>
      <c r="W33" s="23"/>
      <c r="X33" s="40"/>
      <c r="Y33" s="26"/>
      <c r="Z33" s="24"/>
      <c r="AA33" s="39"/>
      <c r="AK33" s="38"/>
      <c r="AL33" s="38"/>
      <c r="AM33" s="38"/>
    </row>
    <row r="34" spans="8:8" ht="20.1" customHeight="1">
      <c r="A34" s="22">
        <f t="shared" si="1"/>
        <v>28.0</v>
      </c>
      <c r="B34" s="23" t="s">
        <v>516</v>
      </c>
      <c r="C34" s="24" t="s">
        <v>871</v>
      </c>
      <c r="D34" s="26" t="s">
        <v>517</v>
      </c>
      <c r="E34" s="24" t="s">
        <v>30</v>
      </c>
      <c r="F34" s="26"/>
      <c r="H34" s="22">
        <f t="shared" si="2"/>
        <v>28.0</v>
      </c>
      <c r="I34" s="23" t="s">
        <v>518</v>
      </c>
      <c r="J34" s="24" t="s">
        <v>872</v>
      </c>
      <c r="K34" s="26" t="s">
        <v>519</v>
      </c>
      <c r="L34" s="24" t="s">
        <v>30</v>
      </c>
      <c r="M34" s="24"/>
      <c r="O34" s="22" t="str">
        <f t="shared" si="3"/>
        <v/>
      </c>
      <c r="P34" s="23"/>
      <c r="Q34" s="24"/>
      <c r="R34" s="21"/>
      <c r="S34" s="24"/>
      <c r="T34" s="26"/>
      <c r="V34" s="16" t="str">
        <f t="shared" si="4"/>
        <v/>
      </c>
      <c r="W34" s="16"/>
      <c r="X34" s="16"/>
      <c r="Y34" s="26"/>
      <c r="Z34" s="16"/>
      <c r="AA34" s="39"/>
      <c r="AK34" s="41" t="s">
        <v>520</v>
      </c>
      <c r="AL34" s="41"/>
      <c r="AM34" s="41"/>
    </row>
    <row r="35" spans="8:8" ht="20.1" customHeight="1">
      <c r="A35" s="22">
        <f t="shared" si="1"/>
        <v>29.0</v>
      </c>
      <c r="B35" s="23" t="s">
        <v>521</v>
      </c>
      <c r="C35" s="24" t="s">
        <v>873</v>
      </c>
      <c r="D35" s="25" t="s">
        <v>522</v>
      </c>
      <c r="E35" s="24" t="s">
        <v>30</v>
      </c>
      <c r="F35" s="26"/>
      <c r="H35" s="22">
        <f t="shared" si="2"/>
        <v>29.0</v>
      </c>
      <c r="I35" s="23" t="s">
        <v>523</v>
      </c>
      <c r="J35" s="24" t="s">
        <v>874</v>
      </c>
      <c r="K35" s="25" t="s">
        <v>524</v>
      </c>
      <c r="L35" s="24" t="s">
        <v>30</v>
      </c>
      <c r="M35" s="24"/>
      <c r="O35" s="22" t="str">
        <f t="shared" si="3"/>
        <v/>
      </c>
      <c r="P35" s="24"/>
      <c r="Q35" s="24"/>
      <c r="R35" s="21"/>
      <c r="S35" s="24"/>
      <c r="T35" s="26"/>
      <c r="V35" s="16" t="str">
        <f t="shared" si="4"/>
        <v/>
      </c>
      <c r="W35" s="16"/>
      <c r="X35" s="16"/>
      <c r="Y35" s="26"/>
      <c r="Z35" s="16"/>
      <c r="AA35" s="39"/>
      <c r="AK35" s="38" t="s">
        <v>525</v>
      </c>
      <c r="AL35" s="38"/>
      <c r="AM35" s="38"/>
    </row>
    <row r="36" spans="8:8" ht="20.1" customHeight="1">
      <c r="A36" s="22">
        <f t="shared" si="1"/>
        <v>30.0</v>
      </c>
      <c r="B36" s="23" t="s">
        <v>526</v>
      </c>
      <c r="C36" s="24" t="s">
        <v>875</v>
      </c>
      <c r="D36" s="26" t="s">
        <v>527</v>
      </c>
      <c r="E36" s="24" t="s">
        <v>30</v>
      </c>
      <c r="F36" s="26"/>
      <c r="H36" s="22">
        <f t="shared" si="2"/>
        <v>30.0</v>
      </c>
      <c r="I36" s="23" t="s">
        <v>528</v>
      </c>
      <c r="J36" s="24" t="s">
        <v>876</v>
      </c>
      <c r="K36" s="26" t="s">
        <v>529</v>
      </c>
      <c r="L36" s="24" t="s">
        <v>30</v>
      </c>
      <c r="M36" s="24"/>
      <c r="O36" s="22" t="str">
        <f t="shared" si="3"/>
        <v/>
      </c>
      <c r="P36" s="24"/>
      <c r="Q36" s="24"/>
      <c r="R36" s="21"/>
      <c r="S36" s="24"/>
      <c r="T36" s="26"/>
      <c r="V36" s="16" t="str">
        <f t="shared" si="4"/>
        <v/>
      </c>
      <c r="W36" s="16"/>
      <c r="X36" s="16"/>
      <c r="Y36" s="26"/>
      <c r="Z36" s="16"/>
      <c r="AA36" s="39"/>
      <c r="AG36" s="1"/>
      <c r="AH36" s="1"/>
      <c r="AI36" s="1"/>
      <c r="AJ36" s="1"/>
      <c r="AK36" s="1"/>
      <c r="AL36" s="1"/>
      <c r="AM36" s="1"/>
    </row>
    <row r="37" spans="8:8" ht="20.1" customHeight="1">
      <c r="A37" s="22">
        <f t="shared" si="1"/>
        <v>31.0</v>
      </c>
      <c r="B37" s="23" t="s">
        <v>530</v>
      </c>
      <c r="C37" s="24" t="s">
        <v>877</v>
      </c>
      <c r="D37" s="25" t="s">
        <v>531</v>
      </c>
      <c r="E37" s="24" t="s">
        <v>30</v>
      </c>
      <c r="F37" s="26"/>
      <c r="H37" s="22">
        <f t="shared" si="2"/>
        <v>31.0</v>
      </c>
      <c r="I37" s="23" t="s">
        <v>532</v>
      </c>
      <c r="J37" s="24" t="s">
        <v>878</v>
      </c>
      <c r="K37" s="26" t="s">
        <v>533</v>
      </c>
      <c r="L37" s="24" t="s">
        <v>30</v>
      </c>
      <c r="M37" s="24"/>
      <c r="O37" s="22" t="str">
        <f t="shared" si="3"/>
        <v/>
      </c>
      <c r="P37" s="24"/>
      <c r="Q37" s="24"/>
      <c r="R37" s="21"/>
      <c r="S37" s="24"/>
      <c r="T37" s="26"/>
      <c r="V37" s="16" t="str">
        <f t="shared" si="4"/>
        <v/>
      </c>
      <c r="W37" s="16"/>
      <c r="X37" s="16"/>
      <c r="Y37" s="26"/>
      <c r="Z37" s="16"/>
      <c r="AA37" s="39" t="str">
        <f>PROPER(Y37)</f>
        <v/>
      </c>
      <c r="AG37" s="1"/>
      <c r="AH37" s="1"/>
      <c r="AI37" s="1"/>
      <c r="AJ37" s="1"/>
      <c r="AK37" s="1"/>
      <c r="AL37" s="1"/>
      <c r="AM37" s="1"/>
    </row>
    <row r="38" spans="8:8" ht="20.1" customHeight="1">
      <c r="A38" s="22">
        <f t="shared" si="1"/>
        <v>32.0</v>
      </c>
      <c r="B38" s="23" t="s">
        <v>508</v>
      </c>
      <c r="C38" s="24" t="s">
        <v>879</v>
      </c>
      <c r="D38" s="25" t="s">
        <v>534</v>
      </c>
      <c r="E38" s="24" t="s">
        <v>30</v>
      </c>
      <c r="F38" s="26"/>
      <c r="H38" s="22">
        <f t="shared" si="2"/>
        <v>32.0</v>
      </c>
      <c r="I38" s="23">
        <v>2.52607122E8</v>
      </c>
      <c r="J38" s="24" t="s">
        <v>880</v>
      </c>
      <c r="K38" s="26" t="s">
        <v>535</v>
      </c>
      <c r="L38" s="24" t="s">
        <v>30</v>
      </c>
      <c r="M38" s="24"/>
      <c r="O38" s="22" t="str">
        <f t="shared" si="3"/>
        <v/>
      </c>
      <c r="P38" s="24"/>
      <c r="Q38" s="24"/>
      <c r="R38" s="21"/>
      <c r="S38" s="24"/>
      <c r="T38" s="26"/>
      <c r="V38" s="16" t="str">
        <f t="shared" si="4"/>
        <v/>
      </c>
      <c r="W38" s="16"/>
      <c r="X38" s="16"/>
      <c r="Y38" s="26"/>
      <c r="Z38" s="16"/>
      <c r="AA38" s="39" t="str">
        <f>PROPER(Y38)</f>
        <v/>
      </c>
      <c r="AG38" s="1"/>
      <c r="AH38" s="1"/>
      <c r="AI38" s="1"/>
      <c r="AJ38" s="1"/>
      <c r="AK38" s="1"/>
      <c r="AL38" s="1"/>
      <c r="AM38" s="1"/>
    </row>
    <row r="39" spans="8:8" ht="20.1" customHeight="1">
      <c r="A39" s="22" t="str">
        <f t="shared" si="1"/>
        <v/>
      </c>
      <c r="B39" s="24"/>
      <c r="C39" s="16"/>
      <c r="D39" s="25"/>
      <c r="E39" s="24"/>
      <c r="F39" s="26" t="str">
        <f>PROPER(D39)</f>
        <v/>
      </c>
      <c r="H39" s="22" t="str">
        <f t="shared" si="2"/>
        <v/>
      </c>
      <c r="I39" s="16"/>
      <c r="J39" s="16"/>
      <c r="K39" s="26"/>
      <c r="L39" s="24"/>
      <c r="M39" s="24"/>
      <c r="O39" s="22" t="str">
        <f t="shared" si="3"/>
        <v/>
      </c>
      <c r="P39" s="16"/>
      <c r="Q39" s="26"/>
      <c r="R39" s="26"/>
      <c r="S39" s="24"/>
      <c r="T39" s="26"/>
      <c r="V39" s="16" t="str">
        <f t="shared" si="4"/>
        <v/>
      </c>
      <c r="W39" s="16"/>
      <c r="X39" s="16"/>
      <c r="Y39" s="26"/>
      <c r="Z39" s="16"/>
      <c r="AA39" s="39" t="str">
        <f>PROPER(Y39)</f>
        <v/>
      </c>
      <c r="AG39" s="1"/>
      <c r="AH39" s="1"/>
      <c r="AI39" s="1"/>
      <c r="AJ39" s="1"/>
      <c r="AK39" s="1"/>
      <c r="AL39" s="1"/>
      <c r="AM39" s="1"/>
    </row>
    <row r="40" spans="8:8">
      <c r="A40" s="42"/>
      <c r="E40" s="42"/>
      <c r="H40" s="42"/>
      <c r="AG40" s="1"/>
      <c r="AH40" s="1"/>
      <c r="AI40" s="1"/>
      <c r="AJ40" s="1"/>
      <c r="AK40" s="1"/>
      <c r="AL40" s="1"/>
      <c r="AM40" s="1"/>
    </row>
    <row r="41" spans="8:8">
      <c r="A41" s="42"/>
      <c r="E41" s="42"/>
      <c r="H41" s="42"/>
      <c r="AG41" s="1"/>
      <c r="AH41" s="1"/>
      <c r="AI41" s="1"/>
      <c r="AJ41" s="1"/>
      <c r="AK41" s="1"/>
      <c r="AL41" s="1"/>
      <c r="AM41" s="1"/>
    </row>
    <row r="42" spans="8:8">
      <c r="A42" s="2"/>
      <c r="B42" s="43" t="s">
        <v>262</v>
      </c>
      <c r="C42" s="43"/>
      <c r="D42" s="44">
        <f>COUNTIF(E7:E39,"P")</f>
        <v>32.0</v>
      </c>
      <c r="H42" s="2"/>
      <c r="I42" s="45" t="s">
        <v>262</v>
      </c>
      <c r="J42" s="45"/>
      <c r="K42" s="26">
        <f>COUNTIF(L7:L39,"P")</f>
        <v>32.0</v>
      </c>
      <c r="P42" s="43" t="s">
        <v>262</v>
      </c>
      <c r="Q42" s="43"/>
      <c r="R42" s="26">
        <f>COUNTIF(S7:S39,"P")</f>
        <v>0.0</v>
      </c>
      <c r="W42" s="45" t="s">
        <v>262</v>
      </c>
      <c r="X42" s="45"/>
      <c r="Y42" s="26">
        <f>COUNTIF(Z7:Z39,"P")</f>
        <v>0.0</v>
      </c>
      <c r="Z42" s="16">
        <f>D42+K42+R42+Y42</f>
        <v>64.0</v>
      </c>
      <c r="AA42" s="16"/>
      <c r="AG42" s="1"/>
      <c r="AH42" s="1"/>
      <c r="AI42" s="1"/>
      <c r="AJ42" s="1"/>
      <c r="AK42" s="1"/>
      <c r="AL42" s="1"/>
      <c r="AM42" s="1"/>
    </row>
    <row r="43" spans="8:8">
      <c r="A43" s="2"/>
      <c r="B43" s="43" t="s">
        <v>263</v>
      </c>
      <c r="C43" s="43"/>
      <c r="D43" s="44">
        <f>COUNTIF(E7:E39,"L")</f>
        <v>0.0</v>
      </c>
      <c r="I43" s="45" t="s">
        <v>263</v>
      </c>
      <c r="J43" s="45"/>
      <c r="K43" s="26">
        <f>COUNTIF(L7:L39,"L")</f>
        <v>0.0</v>
      </c>
      <c r="P43" s="43" t="s">
        <v>263</v>
      </c>
      <c r="Q43" s="43"/>
      <c r="R43" s="26">
        <f>COUNTIF(S7:S39,"L")</f>
        <v>27.0</v>
      </c>
      <c r="W43" s="45" t="s">
        <v>263</v>
      </c>
      <c r="X43" s="45"/>
      <c r="Y43" s="26">
        <f>COUNTIF(Z7:Z39,"L")</f>
        <v>26.0</v>
      </c>
      <c r="Z43" s="16">
        <f>D43+K43+R43+Y43</f>
        <v>53.0</v>
      </c>
      <c r="AA43" s="16"/>
      <c r="AG43" s="1"/>
      <c r="AH43" s="1"/>
      <c r="AI43" s="1"/>
      <c r="AJ43" s="1"/>
      <c r="AK43" s="1"/>
      <c r="AL43" s="1"/>
      <c r="AM43" s="1"/>
    </row>
    <row r="44" spans="8:8">
      <c r="A44" s="2"/>
      <c r="B44" s="43" t="s">
        <v>23</v>
      </c>
      <c r="C44" s="43"/>
      <c r="D44" s="44">
        <f>SUM(D42:D43)</f>
        <v>32.0</v>
      </c>
      <c r="I44" s="45" t="s">
        <v>23</v>
      </c>
      <c r="J44" s="45"/>
      <c r="K44" s="26">
        <f>SUM(K42:K43)</f>
        <v>32.0</v>
      </c>
      <c r="P44" s="43" t="s">
        <v>23</v>
      </c>
      <c r="Q44" s="43"/>
      <c r="R44" s="26">
        <f>SUM(R42:R43)</f>
        <v>27.0</v>
      </c>
      <c r="W44" s="45" t="s">
        <v>23</v>
      </c>
      <c r="X44" s="45"/>
      <c r="Y44" s="26">
        <f>SUM(Y42:Y43)</f>
        <v>26.0</v>
      </c>
      <c r="Z44" s="31">
        <f>D44+K44+R44+Y44</f>
        <v>117.0</v>
      </c>
      <c r="AA44" s="31"/>
      <c r="AG44" s="1"/>
      <c r="AH44" s="1"/>
      <c r="AI44" s="1"/>
      <c r="AJ44" s="1"/>
      <c r="AK44" s="1"/>
      <c r="AL44" s="1"/>
      <c r="AM44" s="1"/>
      <c r="AP44" s="1"/>
    </row>
    <row r="45" spans="8:8">
      <c r="A45" s="2"/>
      <c r="T45" s="2"/>
      <c r="AG45" s="1"/>
      <c r="AH45" s="1"/>
      <c r="AI45" s="1"/>
      <c r="AJ45" s="1"/>
      <c r="AK45" s="1"/>
      <c r="AL45" s="1"/>
      <c r="AM45" s="1"/>
      <c r="AP45" s="1"/>
    </row>
    <row r="46" spans="8:8">
      <c r="A46" s="46" t="s">
        <v>14</v>
      </c>
      <c r="B46" s="10" t="s">
        <v>87</v>
      </c>
      <c r="H46" s="46" t="s">
        <v>14</v>
      </c>
      <c r="I46" s="10" t="s">
        <v>96</v>
      </c>
      <c r="O46" s="46" t="s">
        <v>14</v>
      </c>
      <c r="P46" s="10" t="s">
        <v>105</v>
      </c>
      <c r="T46" s="2"/>
      <c r="V46" s="46" t="s">
        <v>14</v>
      </c>
      <c r="W46" s="10" t="s">
        <v>377</v>
      </c>
      <c r="AA46" s="2"/>
      <c r="AG46" s="1"/>
      <c r="AH46" s="1"/>
      <c r="AI46" s="1"/>
      <c r="AJ46" s="1"/>
      <c r="AK46" s="1"/>
      <c r="AL46" s="1"/>
      <c r="AM46" s="1"/>
      <c r="AP46" s="1"/>
    </row>
    <row r="47" spans="8:8" s="18" ht="15.75" customFormat="1">
      <c r="A47" s="19" t="s">
        <v>0</v>
      </c>
      <c r="B47" s="19" t="s">
        <v>24</v>
      </c>
      <c r="C47" s="19" t="s">
        <v>25</v>
      </c>
      <c r="D47" s="19" t="s">
        <v>1</v>
      </c>
      <c r="E47" s="19" t="s">
        <v>26</v>
      </c>
      <c r="F47" s="19" t="s">
        <v>27</v>
      </c>
      <c r="H47" s="19" t="s">
        <v>0</v>
      </c>
      <c r="I47" s="19" t="s">
        <v>24</v>
      </c>
      <c r="J47" s="19" t="s">
        <v>25</v>
      </c>
      <c r="K47" s="19" t="s">
        <v>1</v>
      </c>
      <c r="L47" s="19" t="s">
        <v>26</v>
      </c>
      <c r="M47" s="19" t="s">
        <v>27</v>
      </c>
      <c r="O47" s="19" t="s">
        <v>0</v>
      </c>
      <c r="P47" s="19" t="s">
        <v>24</v>
      </c>
      <c r="Q47" s="19" t="s">
        <v>25</v>
      </c>
      <c r="R47" s="19" t="s">
        <v>1</v>
      </c>
      <c r="S47" s="19" t="s">
        <v>26</v>
      </c>
      <c r="T47" s="7" t="s">
        <v>27</v>
      </c>
      <c r="V47" s="19" t="s">
        <v>0</v>
      </c>
      <c r="W47" s="19" t="s">
        <v>24</v>
      </c>
      <c r="X47" s="19" t="s">
        <v>25</v>
      </c>
      <c r="Y47" s="19" t="s">
        <v>1</v>
      </c>
      <c r="Z47" s="19" t="s">
        <v>26</v>
      </c>
      <c r="AA47" s="7" t="s">
        <v>27</v>
      </c>
      <c r="AN47" s="5"/>
      <c r="AP47" s="1"/>
      <c r="AQ47" s="5"/>
    </row>
    <row r="48" spans="8:8" ht="20.1" customHeight="1">
      <c r="A48" s="22">
        <f>IF(D48="","",1)</f>
        <v>1.0</v>
      </c>
      <c r="B48" s="24">
        <v>2.42507001E8</v>
      </c>
      <c r="C48" s="24" t="s">
        <v>536</v>
      </c>
      <c r="D48" s="21" t="s">
        <v>537</v>
      </c>
      <c r="E48" s="24" t="s">
        <v>30</v>
      </c>
      <c r="F48" s="26"/>
      <c r="H48" s="22">
        <f>IF(K48="","",1)</f>
        <v>1.0</v>
      </c>
      <c r="I48" s="24">
        <v>2.42507029E8</v>
      </c>
      <c r="J48" s="24" t="s">
        <v>538</v>
      </c>
      <c r="K48" s="21" t="s">
        <v>539</v>
      </c>
      <c r="L48" s="24" t="s">
        <v>30</v>
      </c>
      <c r="M48" s="24"/>
      <c r="O48" s="22">
        <f>IF(R48="","",1)</f>
        <v>1.0</v>
      </c>
      <c r="P48" s="24">
        <v>2.42507051E8</v>
      </c>
      <c r="Q48" s="24" t="s">
        <v>540</v>
      </c>
      <c r="R48" s="21" t="s">
        <v>541</v>
      </c>
      <c r="S48" s="24" t="s">
        <v>35</v>
      </c>
      <c r="T48" s="26"/>
      <c r="V48" s="22">
        <f>IF(Y48="","",1)</f>
        <v>1.0</v>
      </c>
      <c r="W48" s="24">
        <v>2.42507082E8</v>
      </c>
      <c r="X48" s="24" t="s">
        <v>542</v>
      </c>
      <c r="Y48" s="21" t="s">
        <v>543</v>
      </c>
      <c r="Z48" s="24" t="s">
        <v>35</v>
      </c>
      <c r="AA48" s="26"/>
      <c r="AP48" s="1"/>
    </row>
    <row r="49" spans="8:8" ht="20.1" customHeight="1">
      <c r="A49" s="22">
        <f t="shared" si="5" ref="A49:A80">IF(D49="","",A48+1)</f>
        <v>2.0</v>
      </c>
      <c r="B49" s="24">
        <v>2.42507002E8</v>
      </c>
      <c r="C49" s="24" t="s">
        <v>544</v>
      </c>
      <c r="D49" s="21" t="s">
        <v>545</v>
      </c>
      <c r="E49" s="24" t="s">
        <v>30</v>
      </c>
      <c r="F49" s="26"/>
      <c r="H49" s="22">
        <f t="shared" si="6" ref="H49:H76">IF(K49="","",H48+1)</f>
        <v>2.0</v>
      </c>
      <c r="I49" s="24">
        <v>2.4250703E8</v>
      </c>
      <c r="J49" s="24" t="s">
        <v>546</v>
      </c>
      <c r="K49" s="21" t="s">
        <v>547</v>
      </c>
      <c r="L49" s="24" t="s">
        <v>30</v>
      </c>
      <c r="M49" s="24"/>
      <c r="O49" s="22">
        <f t="shared" si="7" ref="O49:O80">IF(R49="","",O48+1)</f>
        <v>2.0</v>
      </c>
      <c r="P49" s="24">
        <v>2.42507052E8</v>
      </c>
      <c r="Q49" s="24" t="s">
        <v>548</v>
      </c>
      <c r="R49" s="21" t="s">
        <v>549</v>
      </c>
      <c r="S49" s="24" t="s">
        <v>35</v>
      </c>
      <c r="T49" s="26"/>
      <c r="V49" s="22">
        <f t="shared" si="8" ref="V49:V80">IF(Y49="","",V48+1)</f>
        <v>2.0</v>
      </c>
      <c r="W49" s="24">
        <v>2.42507083E8</v>
      </c>
      <c r="X49" s="24" t="s">
        <v>550</v>
      </c>
      <c r="Y49" s="21" t="s">
        <v>551</v>
      </c>
      <c r="Z49" s="24" t="s">
        <v>35</v>
      </c>
      <c r="AA49" s="26"/>
      <c r="AP49" s="1"/>
    </row>
    <row r="50" spans="8:8" ht="20.1" customHeight="1">
      <c r="A50" s="22">
        <f t="shared" si="5"/>
        <v>3.0</v>
      </c>
      <c r="B50" s="24">
        <v>2.42507003E8</v>
      </c>
      <c r="C50" s="24" t="s">
        <v>552</v>
      </c>
      <c r="D50" s="21" t="s">
        <v>553</v>
      </c>
      <c r="E50" s="24" t="s">
        <v>30</v>
      </c>
      <c r="F50" s="26"/>
      <c r="H50" s="22">
        <f t="shared" si="6"/>
        <v>3.0</v>
      </c>
      <c r="I50" s="24">
        <v>2.42507031E8</v>
      </c>
      <c r="J50" s="24" t="s">
        <v>554</v>
      </c>
      <c r="K50" s="21" t="s">
        <v>555</v>
      </c>
      <c r="L50" s="24" t="s">
        <v>30</v>
      </c>
      <c r="M50" s="24"/>
      <c r="O50" s="22">
        <f t="shared" si="7"/>
        <v>3.0</v>
      </c>
      <c r="P50" s="24">
        <v>2.42507053E8</v>
      </c>
      <c r="Q50" s="24" t="s">
        <v>556</v>
      </c>
      <c r="R50" s="21" t="s">
        <v>557</v>
      </c>
      <c r="S50" s="24" t="s">
        <v>35</v>
      </c>
      <c r="T50" s="26"/>
      <c r="V50" s="22">
        <f t="shared" si="8"/>
        <v>3.0</v>
      </c>
      <c r="W50" s="24">
        <v>2.42507084E8</v>
      </c>
      <c r="X50" s="24" t="s">
        <v>558</v>
      </c>
      <c r="Y50" s="21" t="s">
        <v>559</v>
      </c>
      <c r="Z50" s="24" t="s">
        <v>35</v>
      </c>
      <c r="AA50" s="26"/>
      <c r="AG50" s="1"/>
      <c r="AH50" s="1"/>
      <c r="AI50" s="1"/>
      <c r="AJ50" s="1"/>
      <c r="AK50" s="1"/>
      <c r="AL50" s="1"/>
      <c r="AM50" s="1"/>
      <c r="AN50" s="1"/>
      <c r="AP50" s="1"/>
    </row>
    <row r="51" spans="8:8" ht="20.1" customHeight="1">
      <c r="A51" s="22">
        <f t="shared" si="5"/>
        <v>4.0</v>
      </c>
      <c r="B51" s="24">
        <v>2.42507004E8</v>
      </c>
      <c r="C51" s="24" t="s">
        <v>560</v>
      </c>
      <c r="D51" s="21" t="s">
        <v>561</v>
      </c>
      <c r="E51" s="24" t="s">
        <v>30</v>
      </c>
      <c r="F51" s="26"/>
      <c r="H51" s="22">
        <f t="shared" si="6"/>
        <v>4.0</v>
      </c>
      <c r="I51" s="24">
        <v>2.42507032E8</v>
      </c>
      <c r="J51" s="24" t="s">
        <v>562</v>
      </c>
      <c r="K51" s="21" t="s">
        <v>563</v>
      </c>
      <c r="L51" s="24" t="s">
        <v>30</v>
      </c>
      <c r="M51" s="24"/>
      <c r="O51" s="22">
        <f t="shared" si="7"/>
        <v>4.0</v>
      </c>
      <c r="P51" s="24">
        <v>2.42507054E8</v>
      </c>
      <c r="Q51" s="24" t="s">
        <v>564</v>
      </c>
      <c r="R51" s="21" t="s">
        <v>565</v>
      </c>
      <c r="S51" s="24" t="s">
        <v>35</v>
      </c>
      <c r="T51" s="26"/>
      <c r="V51" s="22">
        <f t="shared" si="8"/>
        <v>4.0</v>
      </c>
      <c r="W51" s="24">
        <v>2.42507085E8</v>
      </c>
      <c r="X51" s="24" t="s">
        <v>566</v>
      </c>
      <c r="Y51" s="21" t="s">
        <v>567</v>
      </c>
      <c r="Z51" s="24" t="s">
        <v>35</v>
      </c>
      <c r="AA51" s="26"/>
      <c r="AK51" s="1"/>
      <c r="AP51" s="1"/>
    </row>
    <row r="52" spans="8:8" ht="20.1" customHeight="1">
      <c r="A52" s="22">
        <f t="shared" si="5"/>
        <v>5.0</v>
      </c>
      <c r="B52" s="24">
        <v>2.42507005E8</v>
      </c>
      <c r="C52" s="24" t="s">
        <v>568</v>
      </c>
      <c r="D52" s="21" t="s">
        <v>569</v>
      </c>
      <c r="E52" s="24" t="s">
        <v>30</v>
      </c>
      <c r="F52" s="26"/>
      <c r="H52" s="22">
        <f t="shared" si="6"/>
        <v>5.0</v>
      </c>
      <c r="I52" s="24">
        <v>2.42507033E8</v>
      </c>
      <c r="J52" s="24" t="s">
        <v>570</v>
      </c>
      <c r="K52" s="21" t="s">
        <v>571</v>
      </c>
      <c r="L52" s="24" t="s">
        <v>30</v>
      </c>
      <c r="M52" s="24"/>
      <c r="O52" s="22">
        <f t="shared" si="7"/>
        <v>5.0</v>
      </c>
      <c r="P52" s="24">
        <v>2.42507055E8</v>
      </c>
      <c r="Q52" s="24" t="s">
        <v>572</v>
      </c>
      <c r="R52" s="21" t="s">
        <v>573</v>
      </c>
      <c r="S52" s="24" t="s">
        <v>35</v>
      </c>
      <c r="T52" s="26"/>
      <c r="V52" s="22">
        <f t="shared" si="8"/>
        <v>5.0</v>
      </c>
      <c r="W52" s="24">
        <v>2.42507086E8</v>
      </c>
      <c r="X52" s="24" t="s">
        <v>574</v>
      </c>
      <c r="Y52" s="21" t="s">
        <v>575</v>
      </c>
      <c r="Z52" s="24" t="s">
        <v>35</v>
      </c>
      <c r="AA52" s="26"/>
      <c r="AK52" s="1"/>
      <c r="AP52" s="1"/>
    </row>
    <row r="53" spans="8:8" ht="20.1" customHeight="1">
      <c r="A53" s="22">
        <f t="shared" si="5"/>
        <v>6.0</v>
      </c>
      <c r="B53" s="24">
        <v>2.42507006E8</v>
      </c>
      <c r="C53" s="24" t="s">
        <v>576</v>
      </c>
      <c r="D53" s="21" t="s">
        <v>577</v>
      </c>
      <c r="E53" s="24" t="s">
        <v>30</v>
      </c>
      <c r="F53" s="26"/>
      <c r="H53" s="22">
        <f t="shared" si="6"/>
        <v>6.0</v>
      </c>
      <c r="I53" s="24">
        <v>2.42507034E8</v>
      </c>
      <c r="J53" s="24" t="s">
        <v>578</v>
      </c>
      <c r="K53" s="21" t="s">
        <v>579</v>
      </c>
      <c r="L53" s="24" t="s">
        <v>30</v>
      </c>
      <c r="M53" s="24"/>
      <c r="O53" s="22">
        <f t="shared" si="7"/>
        <v>6.0</v>
      </c>
      <c r="P53" s="24">
        <v>2.42507056E8</v>
      </c>
      <c r="Q53" s="24" t="s">
        <v>580</v>
      </c>
      <c r="R53" s="21" t="s">
        <v>581</v>
      </c>
      <c r="S53" s="24" t="s">
        <v>35</v>
      </c>
      <c r="T53" s="26"/>
      <c r="V53" s="22">
        <f t="shared" si="8"/>
        <v>6.0</v>
      </c>
      <c r="W53" s="24">
        <v>2.42507087E8</v>
      </c>
      <c r="X53" s="24" t="s">
        <v>582</v>
      </c>
      <c r="Y53" s="21" t="s">
        <v>583</v>
      </c>
      <c r="Z53" s="24" t="s">
        <v>35</v>
      </c>
      <c r="AA53" s="26"/>
      <c r="AK53" s="1"/>
      <c r="AP53" s="1"/>
    </row>
    <row r="54" spans="8:8" ht="20.1" customHeight="1">
      <c r="A54" s="22">
        <f t="shared" si="5"/>
        <v>7.0</v>
      </c>
      <c r="B54" s="24">
        <v>2.42507007E8</v>
      </c>
      <c r="C54" s="24" t="s">
        <v>584</v>
      </c>
      <c r="D54" s="21" t="s">
        <v>585</v>
      </c>
      <c r="E54" s="24" t="s">
        <v>30</v>
      </c>
      <c r="F54" s="26"/>
      <c r="H54" s="22">
        <f t="shared" si="6"/>
        <v>7.0</v>
      </c>
      <c r="I54" s="24">
        <v>2.42507035E8</v>
      </c>
      <c r="J54" s="24" t="s">
        <v>586</v>
      </c>
      <c r="K54" s="21" t="s">
        <v>587</v>
      </c>
      <c r="L54" s="24" t="s">
        <v>30</v>
      </c>
      <c r="M54" s="24"/>
      <c r="O54" s="22">
        <f t="shared" si="7"/>
        <v>7.0</v>
      </c>
      <c r="P54" s="24">
        <v>2.42507057E8</v>
      </c>
      <c r="Q54" s="24" t="s">
        <v>588</v>
      </c>
      <c r="R54" s="21" t="s">
        <v>589</v>
      </c>
      <c r="S54" s="24" t="s">
        <v>35</v>
      </c>
      <c r="T54" s="26"/>
      <c r="V54" s="22">
        <f t="shared" si="8"/>
        <v>7.0</v>
      </c>
      <c r="W54" s="24">
        <v>2.42507088E8</v>
      </c>
      <c r="X54" s="24" t="s">
        <v>590</v>
      </c>
      <c r="Y54" s="21" t="s">
        <v>591</v>
      </c>
      <c r="Z54" s="24" t="s">
        <v>35</v>
      </c>
      <c r="AA54" s="26"/>
      <c r="AG54" s="1"/>
      <c r="AH54" s="1"/>
      <c r="AI54" s="1"/>
      <c r="AJ54" s="1"/>
      <c r="AK54" s="1"/>
      <c r="AL54" s="1"/>
      <c r="AM54" s="1"/>
      <c r="AN54" s="1"/>
      <c r="AP54" s="1"/>
    </row>
    <row r="55" spans="8:8" ht="20.1" customHeight="1">
      <c r="A55" s="22">
        <f t="shared" si="5"/>
        <v>8.0</v>
      </c>
      <c r="B55" s="24">
        <v>2.42507008E8</v>
      </c>
      <c r="C55" s="24" t="s">
        <v>592</v>
      </c>
      <c r="D55" s="21" t="s">
        <v>593</v>
      </c>
      <c r="E55" s="24" t="s">
        <v>30</v>
      </c>
      <c r="F55" s="26"/>
      <c r="H55" s="22">
        <f t="shared" si="6"/>
        <v>8.0</v>
      </c>
      <c r="I55" s="24">
        <v>2.42507036E8</v>
      </c>
      <c r="J55" s="24" t="s">
        <v>594</v>
      </c>
      <c r="K55" s="21" t="s">
        <v>595</v>
      </c>
      <c r="L55" s="24" t="s">
        <v>30</v>
      </c>
      <c r="M55" s="24"/>
      <c r="O55" s="22">
        <f t="shared" si="7"/>
        <v>8.0</v>
      </c>
      <c r="P55" s="24">
        <v>2.42507058E8</v>
      </c>
      <c r="Q55" s="24" t="s">
        <v>596</v>
      </c>
      <c r="R55" s="21" t="s">
        <v>597</v>
      </c>
      <c r="S55" s="24" t="s">
        <v>35</v>
      </c>
      <c r="T55" s="26"/>
      <c r="V55" s="22">
        <f t="shared" si="8"/>
        <v>8.0</v>
      </c>
      <c r="W55" s="24">
        <v>2.4250709E8</v>
      </c>
      <c r="X55" s="24" t="s">
        <v>598</v>
      </c>
      <c r="Y55" s="21" t="s">
        <v>599</v>
      </c>
      <c r="Z55" s="24" t="s">
        <v>35</v>
      </c>
      <c r="AA55" s="26"/>
      <c r="AK55" s="1"/>
      <c r="AP55" s="1"/>
    </row>
    <row r="56" spans="8:8" ht="20.1" customHeight="1">
      <c r="A56" s="22">
        <f t="shared" si="5"/>
        <v>9.0</v>
      </c>
      <c r="B56" s="24">
        <v>2.42507009E8</v>
      </c>
      <c r="C56" s="24" t="s">
        <v>600</v>
      </c>
      <c r="D56" s="21" t="s">
        <v>601</v>
      </c>
      <c r="E56" s="24" t="s">
        <v>30</v>
      </c>
      <c r="F56" s="26"/>
      <c r="H56" s="22">
        <f t="shared" si="6"/>
        <v>9.0</v>
      </c>
      <c r="I56" s="24">
        <v>2.42507037E8</v>
      </c>
      <c r="J56" s="24" t="s">
        <v>602</v>
      </c>
      <c r="K56" s="21" t="s">
        <v>603</v>
      </c>
      <c r="L56" s="24" t="s">
        <v>30</v>
      </c>
      <c r="M56" s="24"/>
      <c r="O56" s="22">
        <f t="shared" si="7"/>
        <v>9.0</v>
      </c>
      <c r="P56" s="24">
        <v>2.42507059E8</v>
      </c>
      <c r="Q56" s="24" t="s">
        <v>604</v>
      </c>
      <c r="R56" s="21" t="s">
        <v>605</v>
      </c>
      <c r="S56" s="24" t="s">
        <v>35</v>
      </c>
      <c r="T56" s="26"/>
      <c r="V56" s="22">
        <f t="shared" si="8"/>
        <v>9.0</v>
      </c>
      <c r="W56" s="24">
        <v>2.42507091E8</v>
      </c>
      <c r="X56" s="24" t="s">
        <v>606</v>
      </c>
      <c r="Y56" s="21" t="s">
        <v>607</v>
      </c>
      <c r="Z56" s="24" t="s">
        <v>35</v>
      </c>
      <c r="AA56" s="26"/>
      <c r="AK56" s="1"/>
      <c r="AP56" s="1"/>
    </row>
    <row r="57" spans="8:8" ht="20.1" customHeight="1">
      <c r="A57" s="22">
        <f t="shared" si="5"/>
        <v>10.0</v>
      </c>
      <c r="B57" s="24">
        <v>2.4250701E8</v>
      </c>
      <c r="C57" s="24" t="s">
        <v>608</v>
      </c>
      <c r="D57" s="21" t="s">
        <v>609</v>
      </c>
      <c r="E57" s="24" t="s">
        <v>30</v>
      </c>
      <c r="F57" s="26"/>
      <c r="H57" s="22">
        <f t="shared" si="6"/>
        <v>10.0</v>
      </c>
      <c r="I57" s="24">
        <v>2.42507038E8</v>
      </c>
      <c r="J57" s="24" t="s">
        <v>610</v>
      </c>
      <c r="K57" s="21" t="s">
        <v>611</v>
      </c>
      <c r="L57" s="24" t="s">
        <v>30</v>
      </c>
      <c r="M57" s="24"/>
      <c r="O57" s="22">
        <f t="shared" si="7"/>
        <v>10.0</v>
      </c>
      <c r="P57" s="24">
        <v>2.4250706E8</v>
      </c>
      <c r="Q57" s="24" t="s">
        <v>612</v>
      </c>
      <c r="R57" s="21" t="s">
        <v>613</v>
      </c>
      <c r="S57" s="24" t="s">
        <v>35</v>
      </c>
      <c r="T57" s="26"/>
      <c r="V57" s="22">
        <f t="shared" si="8"/>
        <v>10.0</v>
      </c>
      <c r="W57" s="24">
        <v>2.42507092E8</v>
      </c>
      <c r="X57" s="24" t="s">
        <v>614</v>
      </c>
      <c r="Y57" s="21" t="s">
        <v>615</v>
      </c>
      <c r="Z57" s="24" t="s">
        <v>35</v>
      </c>
      <c r="AA57" s="26"/>
      <c r="AK57" s="1"/>
      <c r="AP57" s="1"/>
    </row>
    <row r="58" spans="8:8" ht="20.1" customHeight="1">
      <c r="A58" s="22">
        <f t="shared" si="5"/>
        <v>11.0</v>
      </c>
      <c r="B58" s="24">
        <v>2.42507011E8</v>
      </c>
      <c r="C58" s="24" t="s">
        <v>616</v>
      </c>
      <c r="D58" s="21" t="s">
        <v>617</v>
      </c>
      <c r="E58" s="24" t="s">
        <v>30</v>
      </c>
      <c r="F58" s="26"/>
      <c r="H58" s="22">
        <f t="shared" si="6"/>
        <v>11.0</v>
      </c>
      <c r="I58" s="24">
        <v>2.42507039E8</v>
      </c>
      <c r="J58" s="24" t="s">
        <v>618</v>
      </c>
      <c r="K58" s="21" t="s">
        <v>619</v>
      </c>
      <c r="L58" s="24" t="s">
        <v>30</v>
      </c>
      <c r="M58" s="24"/>
      <c r="O58" s="22">
        <f t="shared" si="7"/>
        <v>11.0</v>
      </c>
      <c r="P58" s="24">
        <v>2.42507061E8</v>
      </c>
      <c r="Q58" s="24" t="s">
        <v>620</v>
      </c>
      <c r="R58" s="21" t="s">
        <v>621</v>
      </c>
      <c r="S58" s="24" t="s">
        <v>35</v>
      </c>
      <c r="T58" s="26"/>
      <c r="V58" s="22">
        <f t="shared" si="8"/>
        <v>11.0</v>
      </c>
      <c r="W58" s="24">
        <v>2.42507093E8</v>
      </c>
      <c r="X58" s="24" t="s">
        <v>622</v>
      </c>
      <c r="Y58" s="21" t="s">
        <v>623</v>
      </c>
      <c r="Z58" s="24" t="s">
        <v>35</v>
      </c>
      <c r="AA58" s="26"/>
      <c r="AG58" s="1"/>
      <c r="AH58" s="1"/>
      <c r="AI58" s="1"/>
      <c r="AJ58" s="1"/>
      <c r="AK58" s="1"/>
      <c r="AL58" s="1"/>
      <c r="AM58" s="1"/>
      <c r="AN58" s="1"/>
      <c r="AP58" s="1"/>
    </row>
    <row r="59" spans="8:8" ht="20.1" customHeight="1">
      <c r="A59" s="22">
        <f t="shared" si="5"/>
        <v>12.0</v>
      </c>
      <c r="B59" s="24">
        <v>2.42507012E8</v>
      </c>
      <c r="C59" s="24" t="s">
        <v>624</v>
      </c>
      <c r="D59" s="21" t="s">
        <v>625</v>
      </c>
      <c r="E59" s="24" t="s">
        <v>30</v>
      </c>
      <c r="F59" s="26"/>
      <c r="H59" s="22">
        <f t="shared" si="6"/>
        <v>12.0</v>
      </c>
      <c r="I59" s="24">
        <v>2.4250704E8</v>
      </c>
      <c r="J59" s="24" t="s">
        <v>626</v>
      </c>
      <c r="K59" s="21" t="s">
        <v>627</v>
      </c>
      <c r="L59" s="24" t="s">
        <v>30</v>
      </c>
      <c r="M59" s="24"/>
      <c r="O59" s="22">
        <f t="shared" si="7"/>
        <v>12.0</v>
      </c>
      <c r="P59" s="24">
        <v>2.42507062E8</v>
      </c>
      <c r="Q59" s="24" t="s">
        <v>628</v>
      </c>
      <c r="R59" s="21" t="s">
        <v>629</v>
      </c>
      <c r="S59" s="24" t="s">
        <v>35</v>
      </c>
      <c r="T59" s="26"/>
      <c r="V59" s="22">
        <f t="shared" si="8"/>
        <v>12.0</v>
      </c>
      <c r="W59" s="24">
        <v>2.42507094E8</v>
      </c>
      <c r="X59" s="24" t="s">
        <v>630</v>
      </c>
      <c r="Y59" s="21" t="s">
        <v>631</v>
      </c>
      <c r="Z59" s="24" t="s">
        <v>35</v>
      </c>
      <c r="AA59" s="26"/>
      <c r="AG59" s="1"/>
      <c r="AH59" s="1"/>
      <c r="AI59" s="1"/>
      <c r="AJ59" s="1"/>
      <c r="AK59" s="1"/>
      <c r="AL59" s="1"/>
      <c r="AM59" s="1"/>
      <c r="AN59" s="1"/>
      <c r="AP59" s="1"/>
    </row>
    <row r="60" spans="8:8" ht="20.1" customHeight="1">
      <c r="A60" s="22">
        <f t="shared" si="5"/>
        <v>13.0</v>
      </c>
      <c r="B60" s="24">
        <v>2.42507013E8</v>
      </c>
      <c r="C60" s="24" t="s">
        <v>632</v>
      </c>
      <c r="D60" s="21" t="s">
        <v>633</v>
      </c>
      <c r="E60" s="24" t="s">
        <v>30</v>
      </c>
      <c r="F60" s="26"/>
      <c r="H60" s="22">
        <f t="shared" si="6"/>
        <v>13.0</v>
      </c>
      <c r="I60" s="24">
        <v>2.42507041E8</v>
      </c>
      <c r="J60" s="24" t="s">
        <v>634</v>
      </c>
      <c r="K60" s="21" t="s">
        <v>635</v>
      </c>
      <c r="L60" s="24" t="s">
        <v>30</v>
      </c>
      <c r="M60" s="24"/>
      <c r="O60" s="22">
        <f t="shared" si="7"/>
        <v>13.0</v>
      </c>
      <c r="P60" s="24">
        <v>2.42507063E8</v>
      </c>
      <c r="Q60" s="24" t="s">
        <v>636</v>
      </c>
      <c r="R60" s="21" t="s">
        <v>637</v>
      </c>
      <c r="S60" s="24" t="s">
        <v>35</v>
      </c>
      <c r="T60" s="26"/>
      <c r="V60" s="22">
        <f t="shared" si="8"/>
        <v>13.0</v>
      </c>
      <c r="W60" s="24">
        <v>2.42507095E8</v>
      </c>
      <c r="X60" s="24" t="s">
        <v>638</v>
      </c>
      <c r="Y60" s="21" t="s">
        <v>639</v>
      </c>
      <c r="Z60" s="24" t="s">
        <v>35</v>
      </c>
      <c r="AA60" s="26"/>
      <c r="AG60" s="1"/>
      <c r="AH60" s="1"/>
      <c r="AI60" s="1"/>
      <c r="AJ60" s="1"/>
      <c r="AK60" s="1"/>
      <c r="AL60" s="1"/>
      <c r="AM60" s="1"/>
      <c r="AN60" s="1"/>
      <c r="AP60" s="1"/>
    </row>
    <row r="61" spans="8:8" ht="20.1" customHeight="1">
      <c r="A61" s="22">
        <f t="shared" si="5"/>
        <v>14.0</v>
      </c>
      <c r="B61" s="24">
        <v>2.42507014E8</v>
      </c>
      <c r="C61" s="24" t="s">
        <v>640</v>
      </c>
      <c r="D61" s="21" t="s">
        <v>641</v>
      </c>
      <c r="E61" s="24" t="s">
        <v>30</v>
      </c>
      <c r="F61" s="26"/>
      <c r="H61" s="22">
        <f t="shared" si="6"/>
        <v>14.0</v>
      </c>
      <c r="I61" s="24">
        <v>2.42507042E8</v>
      </c>
      <c r="J61" s="24" t="s">
        <v>642</v>
      </c>
      <c r="K61" s="21" t="s">
        <v>643</v>
      </c>
      <c r="L61" s="24" t="s">
        <v>30</v>
      </c>
      <c r="M61" s="24"/>
      <c r="O61" s="22">
        <f t="shared" si="7"/>
        <v>14.0</v>
      </c>
      <c r="P61" s="24">
        <v>2.42507064E8</v>
      </c>
      <c r="Q61" s="24" t="s">
        <v>644</v>
      </c>
      <c r="R61" s="21" t="s">
        <v>645</v>
      </c>
      <c r="S61" s="24" t="s">
        <v>35</v>
      </c>
      <c r="T61" s="26"/>
      <c r="V61" s="22">
        <f t="shared" si="8"/>
        <v>14.0</v>
      </c>
      <c r="W61" s="24">
        <v>2.42507096E8</v>
      </c>
      <c r="X61" s="24" t="s">
        <v>646</v>
      </c>
      <c r="Y61" s="21" t="s">
        <v>647</v>
      </c>
      <c r="Z61" s="24" t="s">
        <v>35</v>
      </c>
      <c r="AA61" s="26"/>
    </row>
    <row r="62" spans="8:8" ht="20.1" customHeight="1">
      <c r="A62" s="22">
        <f t="shared" si="5"/>
        <v>15.0</v>
      </c>
      <c r="B62" s="24">
        <v>2.42507016E8</v>
      </c>
      <c r="C62" s="24" t="s">
        <v>648</v>
      </c>
      <c r="D62" s="21" t="s">
        <v>649</v>
      </c>
      <c r="E62" s="24" t="s">
        <v>30</v>
      </c>
      <c r="F62" s="26"/>
      <c r="H62" s="22">
        <f t="shared" si="6"/>
        <v>15.0</v>
      </c>
      <c r="I62" s="24">
        <v>2.42507019E8</v>
      </c>
      <c r="J62" s="24" t="s">
        <v>650</v>
      </c>
      <c r="K62" s="21" t="s">
        <v>651</v>
      </c>
      <c r="L62" s="24" t="s">
        <v>30</v>
      </c>
      <c r="M62" s="24"/>
      <c r="O62" s="22">
        <f t="shared" si="7"/>
        <v>15.0</v>
      </c>
      <c r="P62" s="24">
        <v>2.42507065E8</v>
      </c>
      <c r="Q62" s="24" t="s">
        <v>652</v>
      </c>
      <c r="R62" s="21" t="s">
        <v>653</v>
      </c>
      <c r="S62" s="24" t="s">
        <v>35</v>
      </c>
      <c r="T62" s="26"/>
      <c r="V62" s="22">
        <f t="shared" si="8"/>
        <v>15.0</v>
      </c>
      <c r="W62" s="24">
        <v>2.42507097E8</v>
      </c>
      <c r="X62" s="24" t="s">
        <v>654</v>
      </c>
      <c r="Y62" s="21" t="s">
        <v>655</v>
      </c>
      <c r="Z62" s="24" t="s">
        <v>35</v>
      </c>
      <c r="AA62" s="26"/>
    </row>
    <row r="63" spans="8:8" ht="20.1" customHeight="1">
      <c r="A63" s="22">
        <f t="shared" si="5"/>
        <v>16.0</v>
      </c>
      <c r="B63" s="24">
        <v>2.42507017E8</v>
      </c>
      <c r="C63" s="24" t="s">
        <v>656</v>
      </c>
      <c r="D63" s="21" t="s">
        <v>657</v>
      </c>
      <c r="E63" s="24" t="s">
        <v>30</v>
      </c>
      <c r="F63" s="26"/>
      <c r="H63" s="22">
        <f t="shared" si="6"/>
        <v>16.0</v>
      </c>
      <c r="I63" s="24">
        <v>2.42507043E8</v>
      </c>
      <c r="J63" s="24" t="s">
        <v>658</v>
      </c>
      <c r="K63" s="21" t="s">
        <v>659</v>
      </c>
      <c r="L63" s="24" t="s">
        <v>30</v>
      </c>
      <c r="M63" s="24"/>
      <c r="O63" s="22">
        <f t="shared" si="7"/>
        <v>16.0</v>
      </c>
      <c r="P63" s="24">
        <v>2.42507066E8</v>
      </c>
      <c r="Q63" s="24" t="s">
        <v>660</v>
      </c>
      <c r="R63" s="21" t="s">
        <v>661</v>
      </c>
      <c r="S63" s="24" t="s">
        <v>35</v>
      </c>
      <c r="T63" s="26"/>
      <c r="V63" s="22">
        <f t="shared" si="8"/>
        <v>16.0</v>
      </c>
      <c r="W63" s="24">
        <v>2.42507098E8</v>
      </c>
      <c r="X63" s="24" t="s">
        <v>662</v>
      </c>
      <c r="Y63" s="21" t="s">
        <v>663</v>
      </c>
      <c r="Z63" s="24" t="s">
        <v>35</v>
      </c>
      <c r="AA63" s="26"/>
    </row>
    <row r="64" spans="8:8" ht="20.1" customHeight="1">
      <c r="A64" s="22">
        <f t="shared" si="5"/>
        <v>17.0</v>
      </c>
      <c r="B64" s="24">
        <v>2.42507018E8</v>
      </c>
      <c r="C64" s="24" t="s">
        <v>664</v>
      </c>
      <c r="D64" s="21" t="s">
        <v>665</v>
      </c>
      <c r="E64" s="24" t="s">
        <v>30</v>
      </c>
      <c r="F64" s="26"/>
      <c r="H64" s="22">
        <f t="shared" si="6"/>
        <v>17.0</v>
      </c>
      <c r="I64" s="24">
        <v>2.42507044E8</v>
      </c>
      <c r="J64" s="24" t="s">
        <v>666</v>
      </c>
      <c r="K64" s="21" t="s">
        <v>667</v>
      </c>
      <c r="L64" s="24" t="s">
        <v>30</v>
      </c>
      <c r="M64" s="24"/>
      <c r="O64" s="22">
        <f t="shared" si="7"/>
        <v>17.0</v>
      </c>
      <c r="P64" s="24">
        <v>2.42507067E8</v>
      </c>
      <c r="Q64" s="24" t="s">
        <v>668</v>
      </c>
      <c r="R64" s="21" t="s">
        <v>669</v>
      </c>
      <c r="S64" s="24" t="s">
        <v>35</v>
      </c>
      <c r="T64" s="26"/>
      <c r="V64" s="22">
        <f t="shared" si="8"/>
        <v>17.0</v>
      </c>
      <c r="W64" s="24">
        <v>2.42507099E8</v>
      </c>
      <c r="X64" s="24" t="s">
        <v>670</v>
      </c>
      <c r="Y64" s="21" t="s">
        <v>671</v>
      </c>
      <c r="Z64" s="24" t="s">
        <v>35</v>
      </c>
      <c r="AA64" s="26"/>
    </row>
    <row r="65" spans="8:8" ht="20.1" customHeight="1">
      <c r="A65" s="22">
        <f t="shared" si="5"/>
        <v>18.0</v>
      </c>
      <c r="B65" s="24">
        <v>2.4250702E8</v>
      </c>
      <c r="C65" s="24" t="s">
        <v>672</v>
      </c>
      <c r="D65" s="21" t="s">
        <v>673</v>
      </c>
      <c r="E65" s="24" t="s">
        <v>30</v>
      </c>
      <c r="F65" s="26"/>
      <c r="H65" s="22">
        <f t="shared" si="6"/>
        <v>18.0</v>
      </c>
      <c r="I65" s="24">
        <v>2.42507045E8</v>
      </c>
      <c r="J65" s="24" t="s">
        <v>674</v>
      </c>
      <c r="K65" s="21" t="s">
        <v>675</v>
      </c>
      <c r="L65" s="24" t="s">
        <v>30</v>
      </c>
      <c r="M65" s="24"/>
      <c r="O65" s="22">
        <f t="shared" si="7"/>
        <v>18.0</v>
      </c>
      <c r="P65" s="24">
        <v>2.42507068E8</v>
      </c>
      <c r="Q65" s="24" t="s">
        <v>676</v>
      </c>
      <c r="R65" s="21" t="s">
        <v>677</v>
      </c>
      <c r="S65" s="24" t="s">
        <v>35</v>
      </c>
      <c r="T65" s="26"/>
      <c r="V65" s="22">
        <f t="shared" si="8"/>
        <v>18.0</v>
      </c>
      <c r="W65" s="24">
        <v>2.425071E8</v>
      </c>
      <c r="X65" s="24" t="s">
        <v>678</v>
      </c>
      <c r="Y65" s="21" t="s">
        <v>679</v>
      </c>
      <c r="Z65" s="24" t="s">
        <v>35</v>
      </c>
      <c r="AA65" s="26"/>
    </row>
    <row r="66" spans="8:8" ht="20.1" customHeight="1">
      <c r="A66" s="22">
        <f t="shared" si="5"/>
        <v>19.0</v>
      </c>
      <c r="B66" s="24">
        <v>2.42507022E8</v>
      </c>
      <c r="C66" s="24" t="s">
        <v>680</v>
      </c>
      <c r="D66" s="21" t="s">
        <v>681</v>
      </c>
      <c r="E66" s="24" t="s">
        <v>30</v>
      </c>
      <c r="F66" s="26"/>
      <c r="H66" s="22">
        <f t="shared" si="6"/>
        <v>19.0</v>
      </c>
      <c r="I66" s="24">
        <v>2.42507047E8</v>
      </c>
      <c r="J66" s="24" t="s">
        <v>682</v>
      </c>
      <c r="K66" s="21" t="s">
        <v>683</v>
      </c>
      <c r="L66" s="24" t="s">
        <v>30</v>
      </c>
      <c r="M66" s="24"/>
      <c r="O66" s="22">
        <f t="shared" si="7"/>
        <v>19.0</v>
      </c>
      <c r="P66" s="24">
        <v>2.42507069E8</v>
      </c>
      <c r="Q66" s="24" t="s">
        <v>684</v>
      </c>
      <c r="R66" s="21" t="s">
        <v>685</v>
      </c>
      <c r="S66" s="24" t="s">
        <v>35</v>
      </c>
      <c r="T66" s="26"/>
      <c r="V66" s="22">
        <f t="shared" si="8"/>
        <v>19.0</v>
      </c>
      <c r="W66" s="24">
        <v>2.42507102E8</v>
      </c>
      <c r="X66" s="24" t="s">
        <v>686</v>
      </c>
      <c r="Y66" s="21" t="s">
        <v>687</v>
      </c>
      <c r="Z66" s="24" t="s">
        <v>35</v>
      </c>
      <c r="AA66" s="26"/>
    </row>
    <row r="67" spans="8:8" ht="20.1" customHeight="1">
      <c r="A67" s="22">
        <f t="shared" si="5"/>
        <v>20.0</v>
      </c>
      <c r="B67" s="24">
        <v>2.42507023E8</v>
      </c>
      <c r="C67" s="24" t="s">
        <v>688</v>
      </c>
      <c r="D67" s="21" t="s">
        <v>689</v>
      </c>
      <c r="E67" s="24" t="s">
        <v>30</v>
      </c>
      <c r="F67" s="26"/>
      <c r="H67" s="22">
        <f t="shared" si="6"/>
        <v>20.0</v>
      </c>
      <c r="I67" s="24">
        <v>2.42507048E8</v>
      </c>
      <c r="J67" s="24" t="s">
        <v>690</v>
      </c>
      <c r="K67" s="21" t="s">
        <v>691</v>
      </c>
      <c r="L67" s="24" t="s">
        <v>30</v>
      </c>
      <c r="M67" s="24"/>
      <c r="O67" s="22">
        <f t="shared" si="7"/>
        <v>20.0</v>
      </c>
      <c r="P67" s="24">
        <v>2.42507071E8</v>
      </c>
      <c r="Q67" s="24" t="s">
        <v>692</v>
      </c>
      <c r="R67" s="21" t="s">
        <v>693</v>
      </c>
      <c r="S67" s="24" t="s">
        <v>35</v>
      </c>
      <c r="T67" s="26"/>
      <c r="V67" s="22">
        <f t="shared" si="8"/>
        <v>20.0</v>
      </c>
      <c r="W67" s="24">
        <v>2.42507103E8</v>
      </c>
      <c r="X67" s="24" t="s">
        <v>694</v>
      </c>
      <c r="Y67" s="21" t="s">
        <v>695</v>
      </c>
      <c r="Z67" s="24" t="s">
        <v>35</v>
      </c>
      <c r="AA67" s="26"/>
    </row>
    <row r="68" spans="8:8" ht="20.1" customHeight="1">
      <c r="A68" s="22">
        <f t="shared" si="5"/>
        <v>21.0</v>
      </c>
      <c r="B68" s="24">
        <v>2.42507024E8</v>
      </c>
      <c r="C68" s="24" t="s">
        <v>696</v>
      </c>
      <c r="D68" s="21" t="s">
        <v>697</v>
      </c>
      <c r="E68" s="24" t="s">
        <v>30</v>
      </c>
      <c r="F68" s="26"/>
      <c r="H68" s="22">
        <f t="shared" si="6"/>
        <v>21.0</v>
      </c>
      <c r="I68" s="24">
        <v>2.42507049E8</v>
      </c>
      <c r="J68" s="24" t="s">
        <v>698</v>
      </c>
      <c r="K68" s="21" t="s">
        <v>699</v>
      </c>
      <c r="L68" s="24" t="s">
        <v>30</v>
      </c>
      <c r="M68" s="24"/>
      <c r="O68" s="22">
        <f t="shared" si="7"/>
        <v>21.0</v>
      </c>
      <c r="P68" s="24">
        <v>2.42507072E8</v>
      </c>
      <c r="Q68" s="24" t="s">
        <v>700</v>
      </c>
      <c r="R68" s="21" t="s">
        <v>701</v>
      </c>
      <c r="S68" s="24" t="s">
        <v>35</v>
      </c>
      <c r="T68" s="26"/>
      <c r="V68" s="22">
        <f t="shared" si="8"/>
        <v>21.0</v>
      </c>
      <c r="W68" s="24">
        <v>2.42507104E8</v>
      </c>
      <c r="X68" s="24" t="s">
        <v>702</v>
      </c>
      <c r="Y68" s="21" t="s">
        <v>703</v>
      </c>
      <c r="Z68" s="24" t="s">
        <v>35</v>
      </c>
      <c r="AA68" s="26"/>
    </row>
    <row r="69" spans="8:8" ht="20.1" customHeight="1">
      <c r="A69" s="22">
        <f t="shared" si="5"/>
        <v>22.0</v>
      </c>
      <c r="B69" s="24">
        <v>2.42507025E8</v>
      </c>
      <c r="C69" s="24" t="s">
        <v>704</v>
      </c>
      <c r="D69" s="21" t="s">
        <v>705</v>
      </c>
      <c r="E69" s="24" t="s">
        <v>30</v>
      </c>
      <c r="F69" s="26"/>
      <c r="H69" s="22">
        <f t="shared" si="6"/>
        <v>22.0</v>
      </c>
      <c r="I69" s="24">
        <v>2.4250705E8</v>
      </c>
      <c r="J69" s="24" t="s">
        <v>706</v>
      </c>
      <c r="K69" s="21" t="s">
        <v>707</v>
      </c>
      <c r="L69" s="24" t="s">
        <v>30</v>
      </c>
      <c r="M69" s="24"/>
      <c r="O69" s="22">
        <f t="shared" si="7"/>
        <v>22.0</v>
      </c>
      <c r="P69" s="24">
        <v>2.42507073E8</v>
      </c>
      <c r="Q69" s="24" t="s">
        <v>708</v>
      </c>
      <c r="R69" s="21" t="s">
        <v>709</v>
      </c>
      <c r="S69" s="24" t="s">
        <v>35</v>
      </c>
      <c r="T69" s="26"/>
      <c r="V69" s="22">
        <f t="shared" si="8"/>
        <v>22.0</v>
      </c>
      <c r="W69" s="24">
        <v>2.42507105E8</v>
      </c>
      <c r="X69" s="24" t="s">
        <v>710</v>
      </c>
      <c r="Y69" s="21" t="s">
        <v>711</v>
      </c>
      <c r="Z69" s="24" t="s">
        <v>35</v>
      </c>
      <c r="AA69" s="26"/>
    </row>
    <row r="70" spans="8:8" ht="20.1" customHeight="1">
      <c r="A70" s="22">
        <f t="shared" si="5"/>
        <v>23.0</v>
      </c>
      <c r="B70" s="24">
        <v>2.42507026E8</v>
      </c>
      <c r="C70" s="24" t="s">
        <v>712</v>
      </c>
      <c r="D70" s="21" t="s">
        <v>713</v>
      </c>
      <c r="E70" s="24" t="s">
        <v>30</v>
      </c>
      <c r="F70" s="26"/>
      <c r="H70" s="22" t="str">
        <f t="shared" si="6"/>
        <v/>
      </c>
      <c r="I70" s="24"/>
      <c r="J70" s="24"/>
      <c r="K70" s="21"/>
      <c r="L70" s="24"/>
      <c r="M70" s="24"/>
      <c r="O70" s="22">
        <f t="shared" si="7"/>
        <v>23.0</v>
      </c>
      <c r="P70" s="24">
        <v>2.42507074E8</v>
      </c>
      <c r="Q70" s="24" t="s">
        <v>714</v>
      </c>
      <c r="R70" s="21" t="s">
        <v>715</v>
      </c>
      <c r="S70" s="24" t="s">
        <v>35</v>
      </c>
      <c r="T70" s="26"/>
      <c r="V70" s="22">
        <f t="shared" si="8"/>
        <v>23.0</v>
      </c>
      <c r="W70" s="24">
        <v>2.42507106E8</v>
      </c>
      <c r="X70" s="24" t="s">
        <v>716</v>
      </c>
      <c r="Y70" s="21" t="s">
        <v>717</v>
      </c>
      <c r="Z70" s="24" t="s">
        <v>35</v>
      </c>
      <c r="AA70" s="26"/>
    </row>
    <row r="71" spans="8:8" ht="20.1" customHeight="1">
      <c r="A71" s="22">
        <f t="shared" si="5"/>
        <v>24.0</v>
      </c>
      <c r="B71" s="24">
        <v>2.42507027E8</v>
      </c>
      <c r="C71" s="24" t="s">
        <v>718</v>
      </c>
      <c r="D71" s="21" t="s">
        <v>719</v>
      </c>
      <c r="E71" s="24" t="s">
        <v>30</v>
      </c>
      <c r="F71" s="26"/>
      <c r="H71" s="22" t="str">
        <f t="shared" si="6"/>
        <v/>
      </c>
      <c r="I71" s="24"/>
      <c r="J71" s="24"/>
      <c r="K71" s="21"/>
      <c r="L71" s="24"/>
      <c r="M71" s="24"/>
      <c r="O71" s="22">
        <f t="shared" si="7"/>
        <v>24.0</v>
      </c>
      <c r="P71" s="24">
        <v>2.42507075E8</v>
      </c>
      <c r="Q71" s="24" t="s">
        <v>720</v>
      </c>
      <c r="R71" s="21" t="s">
        <v>721</v>
      </c>
      <c r="S71" s="24" t="s">
        <v>35</v>
      </c>
      <c r="T71" s="26"/>
      <c r="V71" s="22">
        <f t="shared" si="8"/>
        <v>24.0</v>
      </c>
      <c r="W71" s="24">
        <v>2.42507109E8</v>
      </c>
      <c r="X71" s="24" t="s">
        <v>722</v>
      </c>
      <c r="Y71" s="21" t="s">
        <v>723</v>
      </c>
      <c r="Z71" s="24" t="s">
        <v>35</v>
      </c>
      <c r="AA71" s="26"/>
    </row>
    <row r="72" spans="8:8" ht="20.1" customHeight="1">
      <c r="A72" s="22">
        <f t="shared" si="5"/>
        <v>25.0</v>
      </c>
      <c r="B72" s="24">
        <v>2.42507028E8</v>
      </c>
      <c r="C72" s="24" t="s">
        <v>724</v>
      </c>
      <c r="D72" s="21" t="s">
        <v>725</v>
      </c>
      <c r="E72" s="24" t="s">
        <v>30</v>
      </c>
      <c r="F72" s="26"/>
      <c r="H72" s="22" t="str">
        <f t="shared" si="6"/>
        <v/>
      </c>
      <c r="I72" s="24"/>
      <c r="J72" s="24"/>
      <c r="K72" s="21"/>
      <c r="L72" s="24"/>
      <c r="M72" s="24"/>
      <c r="O72" s="22">
        <f t="shared" si="7"/>
        <v>25.0</v>
      </c>
      <c r="P72" s="24">
        <v>2.42507076E8</v>
      </c>
      <c r="Q72" s="24" t="s">
        <v>726</v>
      </c>
      <c r="R72" s="21" t="s">
        <v>727</v>
      </c>
      <c r="S72" s="24" t="s">
        <v>35</v>
      </c>
      <c r="T72" s="26"/>
      <c r="V72" s="22">
        <f t="shared" si="8"/>
        <v>25.0</v>
      </c>
      <c r="W72" s="24">
        <v>2.42507111E8</v>
      </c>
      <c r="X72" s="24" t="s">
        <v>728</v>
      </c>
      <c r="Y72" s="21" t="s">
        <v>729</v>
      </c>
      <c r="Z72" s="24" t="s">
        <v>35</v>
      </c>
      <c r="AA72" s="26"/>
    </row>
    <row r="73" spans="8:8" ht="20.1" customHeight="1">
      <c r="A73" s="22">
        <f t="shared" si="5"/>
        <v>26.0</v>
      </c>
      <c r="B73" s="24">
        <v>2.42507107E8</v>
      </c>
      <c r="C73" s="24" t="s">
        <v>730</v>
      </c>
      <c r="D73" s="21" t="s">
        <v>731</v>
      </c>
      <c r="E73" s="24" t="s">
        <v>30</v>
      </c>
      <c r="F73" s="26"/>
      <c r="H73" s="22" t="str">
        <f t="shared" si="6"/>
        <v/>
      </c>
      <c r="I73" s="24"/>
      <c r="J73" s="24"/>
      <c r="K73" s="21"/>
      <c r="L73" s="24"/>
      <c r="M73" s="24"/>
      <c r="O73" s="22">
        <f t="shared" si="7"/>
        <v>26.0</v>
      </c>
      <c r="P73" s="24">
        <v>2.42507077E8</v>
      </c>
      <c r="Q73" s="24" t="s">
        <v>732</v>
      </c>
      <c r="R73" s="21" t="s">
        <v>733</v>
      </c>
      <c r="S73" s="24" t="s">
        <v>35</v>
      </c>
      <c r="T73" s="26"/>
      <c r="V73" s="22">
        <f t="shared" si="8"/>
        <v>26.0</v>
      </c>
      <c r="W73" s="24">
        <v>2.42507112E8</v>
      </c>
      <c r="X73" s="24" t="s">
        <v>734</v>
      </c>
      <c r="Y73" s="21" t="s">
        <v>735</v>
      </c>
      <c r="Z73" s="24" t="s">
        <v>35</v>
      </c>
      <c r="AA73" s="26"/>
    </row>
    <row r="74" spans="8:8" ht="20.1" customHeight="1">
      <c r="A74" s="22">
        <f t="shared" si="5"/>
        <v>27.0</v>
      </c>
      <c r="B74" s="23" t="s">
        <v>736</v>
      </c>
      <c r="C74" s="24"/>
      <c r="D74" s="20" t="s">
        <v>737</v>
      </c>
      <c r="E74" s="24" t="s">
        <v>30</v>
      </c>
      <c r="F74" s="26"/>
      <c r="H74" s="22" t="str">
        <f t="shared" si="6"/>
        <v/>
      </c>
      <c r="I74" s="24"/>
      <c r="J74" s="24"/>
      <c r="K74" s="21"/>
      <c r="L74" s="24"/>
      <c r="M74" s="24"/>
      <c r="O74" s="22">
        <f t="shared" si="7"/>
        <v>27.0</v>
      </c>
      <c r="P74" s="24">
        <v>2.42507078E8</v>
      </c>
      <c r="Q74" s="24" t="s">
        <v>738</v>
      </c>
      <c r="R74" s="21" t="s">
        <v>739</v>
      </c>
      <c r="S74" s="24" t="s">
        <v>35</v>
      </c>
      <c r="T74" s="26"/>
      <c r="V74" s="22" t="str">
        <f t="shared" si="8"/>
        <v/>
      </c>
      <c r="W74" s="24"/>
      <c r="X74" s="24"/>
      <c r="Y74" s="21"/>
      <c r="Z74" s="24"/>
      <c r="AA74" s="26"/>
    </row>
    <row r="75" spans="8:8" ht="20.1" customHeight="1">
      <c r="A75" s="22" t="str">
        <f t="shared" si="5"/>
        <v/>
      </c>
      <c r="B75" s="47"/>
      <c r="C75" s="24"/>
      <c r="D75" s="20"/>
      <c r="E75" s="24"/>
      <c r="F75" s="26"/>
      <c r="H75" s="22" t="str">
        <f t="shared" si="6"/>
        <v/>
      </c>
      <c r="I75" s="24"/>
      <c r="J75" s="24"/>
      <c r="K75" s="21"/>
      <c r="L75" s="24"/>
      <c r="M75" s="24"/>
      <c r="O75" s="22">
        <f t="shared" si="7"/>
        <v>28.0</v>
      </c>
      <c r="P75" s="24">
        <v>2.42507079E8</v>
      </c>
      <c r="Q75" s="24" t="s">
        <v>740</v>
      </c>
      <c r="R75" s="21" t="s">
        <v>741</v>
      </c>
      <c r="S75" s="24" t="s">
        <v>35</v>
      </c>
      <c r="T75" s="26"/>
      <c r="V75" s="22" t="str">
        <f t="shared" si="8"/>
        <v/>
      </c>
      <c r="W75" s="16"/>
      <c r="X75" s="16"/>
      <c r="Y75" s="26"/>
      <c r="Z75" s="16"/>
      <c r="AA75" s="26"/>
    </row>
    <row r="76" spans="8:8" ht="20.1" customHeight="1">
      <c r="A76" s="22" t="str">
        <f t="shared" si="5"/>
        <v/>
      </c>
      <c r="B76" s="24"/>
      <c r="C76" s="24"/>
      <c r="D76" s="21"/>
      <c r="E76" s="24"/>
      <c r="F76" s="26"/>
      <c r="H76" s="22" t="str">
        <f t="shared" si="6"/>
        <v/>
      </c>
      <c r="I76" s="16"/>
      <c r="J76" s="16"/>
      <c r="K76" s="26"/>
      <c r="L76" s="16"/>
      <c r="M76" s="24"/>
      <c r="O76" s="22">
        <f t="shared" si="7"/>
        <v>29.0</v>
      </c>
      <c r="P76" s="24">
        <v>2.4250708E8</v>
      </c>
      <c r="Q76" s="24" t="s">
        <v>742</v>
      </c>
      <c r="R76" s="21" t="s">
        <v>743</v>
      </c>
      <c r="S76" s="24" t="s">
        <v>35</v>
      </c>
      <c r="T76" s="26"/>
      <c r="V76" s="22" t="str">
        <f t="shared" si="8"/>
        <v/>
      </c>
      <c r="W76" s="16"/>
      <c r="X76" s="16"/>
      <c r="Y76" s="26"/>
      <c r="Z76" s="16"/>
      <c r="AA76" s="26"/>
    </row>
    <row r="77" spans="8:8" ht="20.1" customHeight="1">
      <c r="A77" s="22" t="str">
        <f t="shared" si="5"/>
        <v/>
      </c>
      <c r="B77" s="24"/>
      <c r="C77" s="24"/>
      <c r="D77" s="21"/>
      <c r="E77" s="24"/>
      <c r="F77" s="26"/>
      <c r="H77" s="22"/>
      <c r="I77" s="16"/>
      <c r="J77" s="16"/>
      <c r="K77" s="26"/>
      <c r="L77" s="16"/>
      <c r="M77" s="24" t="str">
        <f>PROPER(K77)</f>
        <v/>
      </c>
      <c r="O77" s="22">
        <f t="shared" si="7"/>
        <v>30.0</v>
      </c>
      <c r="P77" s="24">
        <v>2.42507081E8</v>
      </c>
      <c r="Q77" s="24" t="s">
        <v>744</v>
      </c>
      <c r="R77" s="21" t="s">
        <v>745</v>
      </c>
      <c r="S77" s="24" t="s">
        <v>35</v>
      </c>
      <c r="T77" s="26"/>
      <c r="V77" s="22" t="str">
        <f t="shared" si="8"/>
        <v/>
      </c>
      <c r="W77" s="16"/>
      <c r="X77" s="16"/>
      <c r="Y77" s="26"/>
      <c r="Z77" s="16"/>
      <c r="AA77" s="26"/>
    </row>
    <row r="78" spans="8:8" ht="20.1" customHeight="1">
      <c r="A78" s="22" t="str">
        <f t="shared" si="5"/>
        <v/>
      </c>
      <c r="B78" s="24"/>
      <c r="C78" s="24"/>
      <c r="D78" s="21"/>
      <c r="E78" s="24"/>
      <c r="F78" s="26"/>
      <c r="H78" s="22" t="str">
        <f>IF(K78="","",H77+1)</f>
        <v/>
      </c>
      <c r="I78" s="16"/>
      <c r="J78" s="16"/>
      <c r="K78" s="26"/>
      <c r="L78" s="16"/>
      <c r="M78" s="24" t="str">
        <f>PROPER(K78)</f>
        <v/>
      </c>
      <c r="O78" s="22" t="str">
        <f t="shared" si="7"/>
        <v/>
      </c>
      <c r="P78" s="24"/>
      <c r="Q78" s="24"/>
      <c r="R78" s="21"/>
      <c r="S78" s="24"/>
      <c r="T78" s="26"/>
      <c r="V78" s="22" t="str">
        <f t="shared" si="8"/>
        <v/>
      </c>
      <c r="W78" s="16"/>
      <c r="X78" s="16"/>
      <c r="Y78" s="26"/>
      <c r="Z78" s="16"/>
      <c r="AA78" s="26"/>
    </row>
    <row r="79" spans="8:8" ht="20.1" customHeight="1">
      <c r="A79" s="22" t="str">
        <f t="shared" si="5"/>
        <v/>
      </c>
      <c r="B79" s="24"/>
      <c r="C79" s="16"/>
      <c r="D79" s="25"/>
      <c r="E79" s="24"/>
      <c r="F79" s="26"/>
      <c r="H79" s="22" t="str">
        <f>IF(K79="","",H78+1)</f>
        <v/>
      </c>
      <c r="I79" s="16"/>
      <c r="J79" s="16"/>
      <c r="K79" s="26"/>
      <c r="L79" s="26"/>
      <c r="M79" s="24" t="str">
        <f>PROPER(K79)</f>
        <v/>
      </c>
      <c r="O79" s="22" t="str">
        <f t="shared" si="7"/>
        <v/>
      </c>
      <c r="P79" s="24"/>
      <c r="Q79" s="24"/>
      <c r="R79" s="21"/>
      <c r="S79" s="24"/>
      <c r="T79" s="26"/>
      <c r="V79" s="22" t="str">
        <f t="shared" si="8"/>
        <v/>
      </c>
      <c r="W79" s="16"/>
      <c r="X79" s="16"/>
      <c r="Y79" s="26"/>
      <c r="Z79" s="16"/>
      <c r="AA79" s="26"/>
    </row>
    <row r="80" spans="8:8" ht="20.1" customHeight="1">
      <c r="A80" s="22" t="str">
        <f t="shared" si="5"/>
        <v/>
      </c>
      <c r="B80" s="24"/>
      <c r="C80" s="16"/>
      <c r="D80" s="25"/>
      <c r="E80" s="24"/>
      <c r="F80" s="26" t="str">
        <f>PROPER(D80)</f>
        <v/>
      </c>
      <c r="H80" s="22" t="str">
        <f>IF(K80="","",H79+1)</f>
        <v/>
      </c>
      <c r="I80" s="16"/>
      <c r="J80" s="16"/>
      <c r="K80" s="26"/>
      <c r="L80" s="26"/>
      <c r="M80" s="24" t="str">
        <f>PROPER(K80)</f>
        <v/>
      </c>
      <c r="O80" s="22" t="str">
        <f t="shared" si="7"/>
        <v/>
      </c>
      <c r="P80" s="16"/>
      <c r="Q80" s="26"/>
      <c r="R80" s="26"/>
      <c r="S80" s="24"/>
      <c r="T80" s="26"/>
      <c r="V80" s="22" t="str">
        <f t="shared" si="8"/>
        <v/>
      </c>
      <c r="W80" s="16"/>
      <c r="X80" s="16"/>
      <c r="Y80" s="26"/>
      <c r="Z80" s="16"/>
      <c r="AA80" s="26"/>
    </row>
    <row r="81" spans="8:8">
      <c r="A81" s="42"/>
      <c r="E81" s="42"/>
      <c r="H81" s="2"/>
    </row>
    <row r="82" spans="8:8">
      <c r="A82" s="2"/>
      <c r="H82" s="2"/>
      <c r="T82" s="2"/>
      <c r="Z82" s="2" t="s">
        <v>264</v>
      </c>
      <c r="AA82" s="2"/>
    </row>
    <row r="83" spans="8:8">
      <c r="A83" s="2"/>
      <c r="B83" s="48" t="s">
        <v>262</v>
      </c>
      <c r="C83" s="49"/>
      <c r="D83" s="44">
        <f>COUNTIF(E48:E80,"P")</f>
        <v>27.0</v>
      </c>
      <c r="H83" s="2"/>
      <c r="I83" s="50" t="s">
        <v>262</v>
      </c>
      <c r="J83" s="51"/>
      <c r="K83" s="26">
        <f>COUNTIF(L48:L80,"P")</f>
        <v>22.0</v>
      </c>
      <c r="P83" s="43" t="s">
        <v>262</v>
      </c>
      <c r="Q83" s="43"/>
      <c r="R83" s="26">
        <f>COUNTIF(S48:S80,"P")</f>
        <v>0.0</v>
      </c>
      <c r="T83" s="2"/>
      <c r="W83" s="48" t="s">
        <v>262</v>
      </c>
      <c r="X83" s="49"/>
      <c r="Y83" s="26">
        <f>COUNTIF(Z48:Z80,"P")</f>
        <v>0.0</v>
      </c>
      <c r="Z83" s="16">
        <f>D83+K83+R83+Y83</f>
        <v>49.0</v>
      </c>
      <c r="AA83" s="16"/>
    </row>
    <row r="84" spans="8:8">
      <c r="A84" s="2"/>
      <c r="B84" s="48" t="s">
        <v>263</v>
      </c>
      <c r="C84" s="49"/>
      <c r="D84" s="44">
        <f>COUNTIF(E48:E81,"L")</f>
        <v>0.0</v>
      </c>
      <c r="I84" s="50" t="s">
        <v>263</v>
      </c>
      <c r="J84" s="51"/>
      <c r="K84" s="26">
        <f>COUNTIF(L48:L80,"L")</f>
        <v>0.0</v>
      </c>
      <c r="P84" s="43" t="s">
        <v>263</v>
      </c>
      <c r="Q84" s="43"/>
      <c r="R84" s="26">
        <f>COUNTIF(S48:S80,"L")</f>
        <v>30.0</v>
      </c>
      <c r="T84" s="2"/>
      <c r="W84" s="48" t="s">
        <v>263</v>
      </c>
      <c r="X84" s="49"/>
      <c r="Y84" s="26">
        <f>COUNTIF(Z48:Z80,"L")</f>
        <v>26.0</v>
      </c>
      <c r="Z84" s="16">
        <f>D84+K84+R84+Y84</f>
        <v>56.0</v>
      </c>
      <c r="AA84" s="16"/>
    </row>
    <row r="85" spans="8:8">
      <c r="A85" s="2"/>
      <c r="B85" s="48" t="s">
        <v>23</v>
      </c>
      <c r="C85" s="49"/>
      <c r="D85" s="44">
        <f>SUM(D83:D84)</f>
        <v>27.0</v>
      </c>
      <c r="I85" s="50" t="s">
        <v>23</v>
      </c>
      <c r="J85" s="51"/>
      <c r="K85" s="26">
        <f>SUM(K83:K84)</f>
        <v>22.0</v>
      </c>
      <c r="P85" s="43" t="s">
        <v>23</v>
      </c>
      <c r="Q85" s="43"/>
      <c r="R85" s="26">
        <f>SUM(R83:R84)</f>
        <v>30.0</v>
      </c>
      <c r="S85" s="38"/>
      <c r="T85" s="38"/>
      <c r="W85" s="48" t="s">
        <v>23</v>
      </c>
      <c r="X85" s="49"/>
      <c r="Y85" s="26">
        <f>SUM(Y83:Y84)</f>
        <v>26.0</v>
      </c>
      <c r="Z85" s="31">
        <f>D85+K85+R85+Y85</f>
        <v>105.0</v>
      </c>
      <c r="AA85" s="31"/>
    </row>
    <row r="86" spans="8:8">
      <c r="D86" s="52"/>
    </row>
    <row r="87" spans="8:8">
      <c r="A87" s="46" t="s">
        <v>14</v>
      </c>
      <c r="B87" s="10" t="s">
        <v>136</v>
      </c>
      <c r="C87" s="10"/>
      <c r="D87" s="53"/>
      <c r="E87" s="10"/>
      <c r="F87" s="53"/>
      <c r="H87" s="46" t="s">
        <v>14</v>
      </c>
      <c r="I87" s="10" t="s">
        <v>145</v>
      </c>
      <c r="J87" s="10"/>
      <c r="K87" s="53"/>
      <c r="L87" s="53"/>
      <c r="M87" s="53"/>
      <c r="O87" s="46" t="s">
        <v>14</v>
      </c>
      <c r="P87" s="10" t="s">
        <v>154</v>
      </c>
      <c r="S87" s="1"/>
      <c r="V87" s="46" t="s">
        <v>14</v>
      </c>
      <c r="W87" s="10" t="s">
        <v>438</v>
      </c>
      <c r="X87" s="1"/>
      <c r="Z87" s="1"/>
    </row>
    <row r="88" spans="8:8">
      <c r="A88" s="7" t="s">
        <v>0</v>
      </c>
      <c r="B88" s="7" t="s">
        <v>24</v>
      </c>
      <c r="C88" s="7" t="s">
        <v>25</v>
      </c>
      <c r="D88" s="7" t="s">
        <v>1</v>
      </c>
      <c r="E88" s="7" t="s">
        <v>26</v>
      </c>
      <c r="F88" s="22" t="s">
        <v>27</v>
      </c>
      <c r="H88" s="7" t="s">
        <v>0</v>
      </c>
      <c r="I88" s="7" t="s">
        <v>24</v>
      </c>
      <c r="J88" s="7" t="s">
        <v>25</v>
      </c>
      <c r="K88" s="7" t="s">
        <v>1</v>
      </c>
      <c r="L88" s="7" t="s">
        <v>26</v>
      </c>
      <c r="M88" s="22" t="s">
        <v>27</v>
      </c>
      <c r="O88" s="7" t="s">
        <v>0</v>
      </c>
      <c r="P88" s="7" t="s">
        <v>24</v>
      </c>
      <c r="Q88" s="7" t="s">
        <v>25</v>
      </c>
      <c r="R88" s="7" t="s">
        <v>1</v>
      </c>
      <c r="S88" s="7" t="s">
        <v>26</v>
      </c>
      <c r="T88" s="22" t="s">
        <v>27</v>
      </c>
      <c r="V88" s="7" t="s">
        <v>0</v>
      </c>
      <c r="W88" s="7" t="s">
        <v>24</v>
      </c>
      <c r="X88" s="7" t="s">
        <v>25</v>
      </c>
      <c r="Y88" s="7" t="s">
        <v>1</v>
      </c>
      <c r="Z88" s="7" t="s">
        <v>26</v>
      </c>
      <c r="AA88" s="22" t="s">
        <v>27</v>
      </c>
    </row>
    <row r="89" spans="8:8">
      <c r="A89" s="22">
        <f>IF(D89="","",1)</f>
        <v>1.0</v>
      </c>
      <c r="B89" s="24">
        <v>2.32407001E8</v>
      </c>
      <c r="C89" s="24" t="s">
        <v>28</v>
      </c>
      <c r="D89" s="21" t="s">
        <v>29</v>
      </c>
      <c r="E89" s="24" t="s">
        <v>30</v>
      </c>
      <c r="F89" s="26"/>
      <c r="H89" s="22">
        <f>IF(K89="","",1)</f>
        <v>1.0</v>
      </c>
      <c r="I89" s="24">
        <v>2.32407033E8</v>
      </c>
      <c r="J89" s="24" t="s">
        <v>31</v>
      </c>
      <c r="K89" s="21" t="s">
        <v>32</v>
      </c>
      <c r="L89" s="24" t="s">
        <v>30</v>
      </c>
      <c r="M89" s="25"/>
      <c r="O89" s="22">
        <f>IF(R89="","",1)</f>
        <v>1.0</v>
      </c>
      <c r="P89" s="24">
        <v>2.32407061E8</v>
      </c>
      <c r="Q89" s="24" t="s">
        <v>33</v>
      </c>
      <c r="R89" s="21" t="s">
        <v>34</v>
      </c>
      <c r="S89" s="24" t="s">
        <v>35</v>
      </c>
      <c r="T89" s="26"/>
      <c r="V89" s="22">
        <f>IF(Y89="","",1)</f>
        <v>1.0</v>
      </c>
      <c r="W89" s="24">
        <v>2.32407093E8</v>
      </c>
      <c r="X89" s="24" t="s">
        <v>36</v>
      </c>
      <c r="Y89" s="21" t="s">
        <v>37</v>
      </c>
      <c r="Z89" s="24" t="s">
        <v>35</v>
      </c>
      <c r="AA89" s="26"/>
    </row>
    <row r="90" spans="8:8">
      <c r="A90" s="22">
        <f t="shared" si="9" ref="A90:A121">IF(D90="","",A89+1)</f>
        <v>2.0</v>
      </c>
      <c r="B90" s="24">
        <v>2.32407002E8</v>
      </c>
      <c r="C90" s="24" t="s">
        <v>38</v>
      </c>
      <c r="D90" s="21" t="s">
        <v>39</v>
      </c>
      <c r="E90" s="24" t="s">
        <v>30</v>
      </c>
      <c r="F90" s="26"/>
      <c r="H90" s="22">
        <f t="shared" si="10" ref="H90:H121">IF(K90="","",H89+1)</f>
        <v>2.0</v>
      </c>
      <c r="I90" s="24">
        <v>2.32407034E8</v>
      </c>
      <c r="J90" s="24" t="s">
        <v>40</v>
      </c>
      <c r="K90" s="21" t="s">
        <v>41</v>
      </c>
      <c r="L90" s="24" t="s">
        <v>30</v>
      </c>
      <c r="M90" s="25"/>
      <c r="O90" s="22">
        <f t="shared" si="11" ref="O90:O121">IF(R90="","",O89+1)</f>
        <v>2.0</v>
      </c>
      <c r="P90" s="24">
        <v>2.32407062E8</v>
      </c>
      <c r="Q90" s="24" t="s">
        <v>42</v>
      </c>
      <c r="R90" s="21" t="s">
        <v>43</v>
      </c>
      <c r="S90" s="24" t="s">
        <v>35</v>
      </c>
      <c r="T90" s="26"/>
      <c r="V90" s="22">
        <f t="shared" si="12" ref="V90:V121">IF(Y90="","",V89+1)</f>
        <v>2.0</v>
      </c>
      <c r="W90" s="24">
        <v>2.32407094E8</v>
      </c>
      <c r="X90" s="24" t="s">
        <v>44</v>
      </c>
      <c r="Y90" s="21" t="s">
        <v>45</v>
      </c>
      <c r="Z90" s="24" t="s">
        <v>35</v>
      </c>
      <c r="AA90" s="26"/>
    </row>
    <row r="91" spans="8:8">
      <c r="A91" s="22">
        <f t="shared" si="9"/>
        <v>3.0</v>
      </c>
      <c r="B91" s="24">
        <v>2.32407003E8</v>
      </c>
      <c r="C91" s="24" t="s">
        <v>46</v>
      </c>
      <c r="D91" s="21" t="s">
        <v>47</v>
      </c>
      <c r="E91" s="24" t="s">
        <v>30</v>
      </c>
      <c r="F91" s="26"/>
      <c r="H91" s="22">
        <f t="shared" si="10"/>
        <v>3.0</v>
      </c>
      <c r="I91" s="24">
        <v>2.32407035E8</v>
      </c>
      <c r="J91" s="24" t="s">
        <v>48</v>
      </c>
      <c r="K91" s="21" t="s">
        <v>49</v>
      </c>
      <c r="L91" s="24" t="s">
        <v>30</v>
      </c>
      <c r="M91" s="25"/>
      <c r="O91" s="22">
        <f t="shared" si="11"/>
        <v>3.0</v>
      </c>
      <c r="P91" s="24">
        <v>2.32407063E8</v>
      </c>
      <c r="Q91" s="24" t="s">
        <v>50</v>
      </c>
      <c r="R91" s="21" t="s">
        <v>51</v>
      </c>
      <c r="S91" s="24" t="s">
        <v>35</v>
      </c>
      <c r="T91" s="26"/>
      <c r="V91" s="22">
        <f t="shared" si="12"/>
        <v>3.0</v>
      </c>
      <c r="W91" s="24">
        <v>2.32407095E8</v>
      </c>
      <c r="X91" s="24" t="s">
        <v>52</v>
      </c>
      <c r="Y91" s="21" t="s">
        <v>53</v>
      </c>
      <c r="Z91" s="24" t="s">
        <v>35</v>
      </c>
      <c r="AA91" s="26"/>
    </row>
    <row r="92" spans="8:8">
      <c r="A92" s="22">
        <f t="shared" si="9"/>
        <v>4.0</v>
      </c>
      <c r="B92" s="24">
        <v>2.32407004E8</v>
      </c>
      <c r="C92" s="24" t="s">
        <v>54</v>
      </c>
      <c r="D92" s="21" t="s">
        <v>55</v>
      </c>
      <c r="E92" s="24" t="s">
        <v>30</v>
      </c>
      <c r="F92" s="26"/>
      <c r="H92" s="22">
        <f t="shared" si="10"/>
        <v>4.0</v>
      </c>
      <c r="I92" s="24">
        <v>2.32407036E8</v>
      </c>
      <c r="J92" s="24" t="s">
        <v>56</v>
      </c>
      <c r="K92" s="21" t="s">
        <v>57</v>
      </c>
      <c r="L92" s="24" t="s">
        <v>30</v>
      </c>
      <c r="M92" s="25"/>
      <c r="O92" s="22">
        <f t="shared" si="11"/>
        <v>4.0</v>
      </c>
      <c r="P92" s="24">
        <v>2.32407064E8</v>
      </c>
      <c r="Q92" s="24" t="s">
        <v>58</v>
      </c>
      <c r="R92" s="21" t="s">
        <v>59</v>
      </c>
      <c r="S92" s="24" t="s">
        <v>35</v>
      </c>
      <c r="T92" s="26"/>
      <c r="V92" s="22">
        <f t="shared" si="12"/>
        <v>4.0</v>
      </c>
      <c r="W92" s="24">
        <v>2.32407096E8</v>
      </c>
      <c r="X92" s="24" t="s">
        <v>60</v>
      </c>
      <c r="Y92" s="21" t="s">
        <v>61</v>
      </c>
      <c r="Z92" s="24" t="s">
        <v>35</v>
      </c>
      <c r="AA92" s="26"/>
    </row>
    <row r="93" spans="8:8">
      <c r="A93" s="22">
        <f t="shared" si="9"/>
        <v>5.0</v>
      </c>
      <c r="B93" s="24">
        <v>2.32407005E8</v>
      </c>
      <c r="C93" s="24" t="s">
        <v>63</v>
      </c>
      <c r="D93" s="21" t="s">
        <v>64</v>
      </c>
      <c r="E93" s="24" t="s">
        <v>30</v>
      </c>
      <c r="F93" s="26"/>
      <c r="H93" s="22">
        <f t="shared" si="10"/>
        <v>5.0</v>
      </c>
      <c r="I93" s="24">
        <v>2.32407037E8</v>
      </c>
      <c r="J93" s="24" t="s">
        <v>65</v>
      </c>
      <c r="K93" s="21" t="s">
        <v>66</v>
      </c>
      <c r="L93" s="24" t="s">
        <v>30</v>
      </c>
      <c r="M93" s="25"/>
      <c r="O93" s="22">
        <f t="shared" si="11"/>
        <v>5.0</v>
      </c>
      <c r="P93" s="24">
        <v>2.32407065E8</v>
      </c>
      <c r="Q93" s="24" t="s">
        <v>67</v>
      </c>
      <c r="R93" s="21" t="s">
        <v>68</v>
      </c>
      <c r="S93" s="24" t="s">
        <v>35</v>
      </c>
      <c r="T93" s="26"/>
      <c r="V93" s="22">
        <f t="shared" si="12"/>
        <v>5.0</v>
      </c>
      <c r="W93" s="24">
        <v>2.32407097E8</v>
      </c>
      <c r="X93" s="24" t="s">
        <v>69</v>
      </c>
      <c r="Y93" s="21" t="s">
        <v>70</v>
      </c>
      <c r="Z93" s="24" t="s">
        <v>35</v>
      </c>
      <c r="AA93" s="26"/>
    </row>
    <row r="94" spans="8:8">
      <c r="A94" s="22">
        <f t="shared" si="9"/>
        <v>6.0</v>
      </c>
      <c r="B94" s="24">
        <v>2.32407006E8</v>
      </c>
      <c r="C94" s="24" t="s">
        <v>71</v>
      </c>
      <c r="D94" s="21" t="s">
        <v>72</v>
      </c>
      <c r="E94" s="24" t="s">
        <v>30</v>
      </c>
      <c r="F94" s="26"/>
      <c r="H94" s="22">
        <f t="shared" si="10"/>
        <v>6.0</v>
      </c>
      <c r="I94" s="24">
        <v>2.32407038E8</v>
      </c>
      <c r="J94" s="24" t="s">
        <v>73</v>
      </c>
      <c r="K94" s="21" t="s">
        <v>74</v>
      </c>
      <c r="L94" s="24" t="s">
        <v>30</v>
      </c>
      <c r="M94" s="25"/>
      <c r="O94" s="22">
        <f t="shared" si="11"/>
        <v>6.0</v>
      </c>
      <c r="P94" s="24">
        <v>2.32407066E8</v>
      </c>
      <c r="Q94" s="24" t="s">
        <v>75</v>
      </c>
      <c r="R94" s="21" t="s">
        <v>76</v>
      </c>
      <c r="S94" s="24" t="s">
        <v>35</v>
      </c>
      <c r="T94" s="26"/>
      <c r="V94" s="22">
        <f t="shared" si="12"/>
        <v>6.0</v>
      </c>
      <c r="W94" s="24">
        <v>2.32407098E8</v>
      </c>
      <c r="X94" s="24" t="s">
        <v>77</v>
      </c>
      <c r="Y94" s="21" t="s">
        <v>78</v>
      </c>
      <c r="Z94" s="24" t="s">
        <v>35</v>
      </c>
      <c r="AA94" s="26"/>
    </row>
    <row r="95" spans="8:8">
      <c r="A95" s="22">
        <f t="shared" si="9"/>
        <v>7.0</v>
      </c>
      <c r="B95" s="24">
        <v>2.32407007E8</v>
      </c>
      <c r="C95" s="24" t="s">
        <v>79</v>
      </c>
      <c r="D95" s="21" t="s">
        <v>80</v>
      </c>
      <c r="E95" s="24" t="s">
        <v>30</v>
      </c>
      <c r="F95" s="26"/>
      <c r="H95" s="22">
        <f t="shared" si="10"/>
        <v>7.0</v>
      </c>
      <c r="I95" s="24">
        <v>2.32407039E8</v>
      </c>
      <c r="J95" s="24" t="s">
        <v>81</v>
      </c>
      <c r="K95" s="21" t="s">
        <v>82</v>
      </c>
      <c r="L95" s="24" t="s">
        <v>30</v>
      </c>
      <c r="M95" s="25"/>
      <c r="O95" s="22">
        <f t="shared" si="11"/>
        <v>7.0</v>
      </c>
      <c r="P95" s="24">
        <v>2.32407067E8</v>
      </c>
      <c r="Q95" s="24" t="s">
        <v>83</v>
      </c>
      <c r="R95" s="21" t="s">
        <v>84</v>
      </c>
      <c r="S95" s="24" t="s">
        <v>35</v>
      </c>
      <c r="T95" s="26"/>
      <c r="V95" s="22">
        <f t="shared" si="12"/>
        <v>7.0</v>
      </c>
      <c r="W95" s="24">
        <v>2.32407099E8</v>
      </c>
      <c r="X95" s="24" t="s">
        <v>85</v>
      </c>
      <c r="Y95" s="21" t="s">
        <v>86</v>
      </c>
      <c r="Z95" s="24" t="s">
        <v>35</v>
      </c>
      <c r="AA95" s="26"/>
    </row>
    <row r="96" spans="8:8">
      <c r="A96" s="22">
        <f t="shared" si="9"/>
        <v>8.0</v>
      </c>
      <c r="B96" s="24">
        <v>2.32407008E8</v>
      </c>
      <c r="C96" s="24" t="s">
        <v>88</v>
      </c>
      <c r="D96" s="21" t="s">
        <v>89</v>
      </c>
      <c r="E96" s="24" t="s">
        <v>30</v>
      </c>
      <c r="F96" s="26"/>
      <c r="H96" s="22">
        <f t="shared" si="10"/>
        <v>8.0</v>
      </c>
      <c r="I96" s="24">
        <v>2.3240704E8</v>
      </c>
      <c r="J96" s="24" t="s">
        <v>90</v>
      </c>
      <c r="K96" s="21" t="s">
        <v>91</v>
      </c>
      <c r="L96" s="24" t="s">
        <v>30</v>
      </c>
      <c r="M96" s="25"/>
      <c r="O96" s="22">
        <f t="shared" si="11"/>
        <v>8.0</v>
      </c>
      <c r="P96" s="24">
        <v>2.32407068E8</v>
      </c>
      <c r="Q96" s="24" t="s">
        <v>92</v>
      </c>
      <c r="R96" s="21" t="s">
        <v>93</v>
      </c>
      <c r="S96" s="24" t="s">
        <v>35</v>
      </c>
      <c r="T96" s="26"/>
      <c r="V96" s="22">
        <f t="shared" si="12"/>
        <v>8.0</v>
      </c>
      <c r="W96" s="24">
        <v>2.324071E8</v>
      </c>
      <c r="X96" s="24" t="s">
        <v>94</v>
      </c>
      <c r="Y96" s="21" t="s">
        <v>95</v>
      </c>
      <c r="Z96" s="24" t="s">
        <v>35</v>
      </c>
      <c r="AA96" s="26"/>
    </row>
    <row r="97" spans="8:8">
      <c r="A97" s="22">
        <f t="shared" si="9"/>
        <v>9.0</v>
      </c>
      <c r="B97" s="24">
        <v>2.32407009E8</v>
      </c>
      <c r="C97" s="24" t="s">
        <v>97</v>
      </c>
      <c r="D97" s="21" t="s">
        <v>98</v>
      </c>
      <c r="E97" s="24" t="s">
        <v>30</v>
      </c>
      <c r="F97" s="26"/>
      <c r="H97" s="22">
        <f t="shared" si="10"/>
        <v>9.0</v>
      </c>
      <c r="I97" s="24">
        <v>2.32407041E8</v>
      </c>
      <c r="J97" s="24" t="s">
        <v>99</v>
      </c>
      <c r="K97" s="21" t="s">
        <v>100</v>
      </c>
      <c r="L97" s="24" t="s">
        <v>30</v>
      </c>
      <c r="M97" s="25"/>
      <c r="O97" s="22">
        <f t="shared" si="11"/>
        <v>9.0</v>
      </c>
      <c r="P97" s="24">
        <v>2.32407069E8</v>
      </c>
      <c r="Q97" s="24" t="s">
        <v>101</v>
      </c>
      <c r="R97" s="21" t="s">
        <v>102</v>
      </c>
      <c r="S97" s="24" t="s">
        <v>35</v>
      </c>
      <c r="T97" s="26"/>
      <c r="V97" s="22">
        <f t="shared" si="12"/>
        <v>9.0</v>
      </c>
      <c r="W97" s="24">
        <v>2.32407101E8</v>
      </c>
      <c r="X97" s="24" t="s">
        <v>103</v>
      </c>
      <c r="Y97" s="21" t="s">
        <v>104</v>
      </c>
      <c r="Z97" s="24" t="s">
        <v>35</v>
      </c>
      <c r="AA97" s="26"/>
    </row>
    <row r="98" spans="8:8">
      <c r="A98" s="22">
        <f t="shared" si="9"/>
        <v>10.0</v>
      </c>
      <c r="B98" s="24">
        <v>2.3240701E8</v>
      </c>
      <c r="C98" s="24" t="s">
        <v>106</v>
      </c>
      <c r="D98" s="21" t="s">
        <v>107</v>
      </c>
      <c r="E98" s="24" t="s">
        <v>30</v>
      </c>
      <c r="F98" s="26"/>
      <c r="H98" s="22">
        <f t="shared" si="10"/>
        <v>10.0</v>
      </c>
      <c r="I98" s="24">
        <v>2.32407042E8</v>
      </c>
      <c r="J98" s="24" t="s">
        <v>108</v>
      </c>
      <c r="K98" s="21" t="s">
        <v>109</v>
      </c>
      <c r="L98" s="24" t="s">
        <v>30</v>
      </c>
      <c r="M98" s="25"/>
      <c r="O98" s="22">
        <f t="shared" si="11"/>
        <v>10.0</v>
      </c>
      <c r="P98" s="24">
        <v>2.3240707E8</v>
      </c>
      <c r="Q98" s="24" t="s">
        <v>110</v>
      </c>
      <c r="R98" s="21" t="s">
        <v>111</v>
      </c>
      <c r="S98" s="24" t="s">
        <v>35</v>
      </c>
      <c r="T98" s="26"/>
      <c r="V98" s="22">
        <f t="shared" si="12"/>
        <v>10.0</v>
      </c>
      <c r="W98" s="24">
        <v>2.32407102E8</v>
      </c>
      <c r="X98" s="24" t="s">
        <v>112</v>
      </c>
      <c r="Y98" s="21" t="s">
        <v>113</v>
      </c>
      <c r="Z98" s="24" t="s">
        <v>35</v>
      </c>
      <c r="AA98" s="26"/>
    </row>
    <row r="99" spans="8:8">
      <c r="A99" s="22">
        <f t="shared" si="9"/>
        <v>11.0</v>
      </c>
      <c r="B99" s="24">
        <v>2.32407011E8</v>
      </c>
      <c r="C99" s="24" t="s">
        <v>114</v>
      </c>
      <c r="D99" s="21" t="s">
        <v>115</v>
      </c>
      <c r="E99" s="24" t="s">
        <v>30</v>
      </c>
      <c r="F99" s="26"/>
      <c r="H99" s="22">
        <f t="shared" si="10"/>
        <v>11.0</v>
      </c>
      <c r="I99" s="24">
        <v>2.32407043E8</v>
      </c>
      <c r="J99" s="24" t="s">
        <v>116</v>
      </c>
      <c r="K99" s="21" t="s">
        <v>117</v>
      </c>
      <c r="L99" s="24" t="s">
        <v>30</v>
      </c>
      <c r="M99" s="25"/>
      <c r="O99" s="22">
        <f t="shared" si="11"/>
        <v>11.0</v>
      </c>
      <c r="P99" s="24">
        <v>2.32407072E8</v>
      </c>
      <c r="Q99" s="24" t="s">
        <v>124</v>
      </c>
      <c r="R99" s="21" t="s">
        <v>125</v>
      </c>
      <c r="S99" s="24" t="s">
        <v>35</v>
      </c>
      <c r="T99" s="26"/>
      <c r="V99" s="22">
        <f t="shared" si="12"/>
        <v>11.0</v>
      </c>
      <c r="W99" s="24">
        <v>2.32407103E8</v>
      </c>
      <c r="X99" s="24" t="s">
        <v>118</v>
      </c>
      <c r="Y99" s="21" t="s">
        <v>119</v>
      </c>
      <c r="Z99" s="24" t="s">
        <v>35</v>
      </c>
      <c r="AA99" s="26"/>
    </row>
    <row r="100" spans="8:8">
      <c r="A100" s="22">
        <f t="shared" si="9"/>
        <v>12.0</v>
      </c>
      <c r="B100" s="24">
        <v>2.32407012E8</v>
      </c>
      <c r="C100" s="24" t="s">
        <v>120</v>
      </c>
      <c r="D100" s="21" t="s">
        <v>121</v>
      </c>
      <c r="E100" s="24" t="s">
        <v>30</v>
      </c>
      <c r="F100" s="26"/>
      <c r="H100" s="22">
        <f t="shared" si="10"/>
        <v>12.0</v>
      </c>
      <c r="I100" s="24">
        <v>2.32407044E8</v>
      </c>
      <c r="J100" s="24" t="s">
        <v>122</v>
      </c>
      <c r="K100" s="21" t="s">
        <v>123</v>
      </c>
      <c r="L100" s="24" t="s">
        <v>30</v>
      </c>
      <c r="M100" s="25"/>
      <c r="O100" s="22">
        <f t="shared" si="11"/>
        <v>12.0</v>
      </c>
      <c r="P100" s="24">
        <v>2.32407073E8</v>
      </c>
      <c r="Q100" s="24" t="s">
        <v>132</v>
      </c>
      <c r="R100" s="21" t="s">
        <v>133</v>
      </c>
      <c r="S100" s="24" t="s">
        <v>35</v>
      </c>
      <c r="T100" s="26"/>
      <c r="V100" s="22">
        <f t="shared" si="12"/>
        <v>12.0</v>
      </c>
      <c r="W100" s="24">
        <v>2.32407104E8</v>
      </c>
      <c r="X100" s="24" t="s">
        <v>126</v>
      </c>
      <c r="Y100" s="21" t="s">
        <v>127</v>
      </c>
      <c r="Z100" s="24" t="s">
        <v>35</v>
      </c>
      <c r="AA100" s="26"/>
    </row>
    <row r="101" spans="8:8">
      <c r="A101" s="22">
        <f t="shared" si="9"/>
        <v>13.0</v>
      </c>
      <c r="B101" s="24">
        <v>2.32407013E8</v>
      </c>
      <c r="C101" s="24" t="s">
        <v>128</v>
      </c>
      <c r="D101" s="21" t="s">
        <v>129</v>
      </c>
      <c r="E101" s="24" t="s">
        <v>30</v>
      </c>
      <c r="F101" s="26"/>
      <c r="H101" s="22">
        <f t="shared" si="10"/>
        <v>13.0</v>
      </c>
      <c r="I101" s="24">
        <v>2.32407045E8</v>
      </c>
      <c r="J101" s="24" t="s">
        <v>130</v>
      </c>
      <c r="K101" s="21" t="s">
        <v>131</v>
      </c>
      <c r="L101" s="24" t="s">
        <v>30</v>
      </c>
      <c r="M101" s="25"/>
      <c r="O101" s="22">
        <f t="shared" si="11"/>
        <v>13.0</v>
      </c>
      <c r="P101" s="24">
        <v>2.32407074E8</v>
      </c>
      <c r="Q101" s="24" t="s">
        <v>141</v>
      </c>
      <c r="R101" s="21" t="s">
        <v>142</v>
      </c>
      <c r="S101" s="24" t="s">
        <v>35</v>
      </c>
      <c r="T101" s="26"/>
      <c r="V101" s="22">
        <f t="shared" si="12"/>
        <v>13.0</v>
      </c>
      <c r="W101" s="24">
        <v>2.32407105E8</v>
      </c>
      <c r="X101" s="24" t="s">
        <v>134</v>
      </c>
      <c r="Y101" s="21" t="s">
        <v>135</v>
      </c>
      <c r="Z101" s="24" t="s">
        <v>35</v>
      </c>
      <c r="AA101" s="26"/>
    </row>
    <row r="102" spans="8:8">
      <c r="A102" s="22">
        <f t="shared" si="9"/>
        <v>14.0</v>
      </c>
      <c r="B102" s="24">
        <v>2.32407014E8</v>
      </c>
      <c r="C102" s="24" t="s">
        <v>137</v>
      </c>
      <c r="D102" s="21" t="s">
        <v>138</v>
      </c>
      <c r="E102" s="24" t="s">
        <v>30</v>
      </c>
      <c r="F102" s="26"/>
      <c r="H102" s="22">
        <f t="shared" si="10"/>
        <v>14.0</v>
      </c>
      <c r="I102" s="24">
        <v>2.32407046E8</v>
      </c>
      <c r="J102" s="24" t="s">
        <v>139</v>
      </c>
      <c r="K102" s="21" t="s">
        <v>140</v>
      </c>
      <c r="L102" s="24" t="s">
        <v>30</v>
      </c>
      <c r="M102" s="25"/>
      <c r="O102" s="22">
        <f t="shared" si="11"/>
        <v>14.0</v>
      </c>
      <c r="P102" s="24">
        <v>2.32407075E8</v>
      </c>
      <c r="Q102" s="24" t="s">
        <v>150</v>
      </c>
      <c r="R102" s="21" t="s">
        <v>151</v>
      </c>
      <c r="S102" s="24" t="s">
        <v>35</v>
      </c>
      <c r="T102" s="26"/>
      <c r="V102" s="22">
        <f t="shared" si="12"/>
        <v>14.0</v>
      </c>
      <c r="W102" s="24">
        <v>2.32407106E8</v>
      </c>
      <c r="X102" s="24" t="s">
        <v>143</v>
      </c>
      <c r="Y102" s="21" t="s">
        <v>144</v>
      </c>
      <c r="Z102" s="24" t="s">
        <v>35</v>
      </c>
      <c r="AA102" s="26"/>
    </row>
    <row r="103" spans="8:8">
      <c r="A103" s="22">
        <f t="shared" si="9"/>
        <v>15.0</v>
      </c>
      <c r="B103" s="24">
        <v>2.32407015E8</v>
      </c>
      <c r="C103" s="24" t="s">
        <v>146</v>
      </c>
      <c r="D103" s="21" t="s">
        <v>147</v>
      </c>
      <c r="E103" s="24" t="s">
        <v>30</v>
      </c>
      <c r="F103" s="26"/>
      <c r="H103" s="22">
        <f t="shared" si="10"/>
        <v>15.0</v>
      </c>
      <c r="I103" s="24">
        <v>2.32407047E8</v>
      </c>
      <c r="J103" s="24" t="s">
        <v>148</v>
      </c>
      <c r="K103" s="21" t="s">
        <v>149</v>
      </c>
      <c r="L103" s="24" t="s">
        <v>30</v>
      </c>
      <c r="M103" s="25"/>
      <c r="O103" s="22">
        <f t="shared" si="11"/>
        <v>15.0</v>
      </c>
      <c r="P103" s="24">
        <v>2.32407076E8</v>
      </c>
      <c r="Q103" s="24" t="s">
        <v>159</v>
      </c>
      <c r="R103" s="21" t="s">
        <v>160</v>
      </c>
      <c r="S103" s="24" t="s">
        <v>35</v>
      </c>
      <c r="T103" s="26"/>
      <c r="V103" s="22">
        <f t="shared" si="12"/>
        <v>15.0</v>
      </c>
      <c r="W103" s="24">
        <v>2.32407107E8</v>
      </c>
      <c r="X103" s="24" t="s">
        <v>152</v>
      </c>
      <c r="Y103" s="21" t="s">
        <v>153</v>
      </c>
      <c r="Z103" s="24" t="s">
        <v>35</v>
      </c>
      <c r="AA103" s="26"/>
    </row>
    <row r="104" spans="8:8">
      <c r="A104" s="22">
        <f t="shared" si="9"/>
        <v>16.0</v>
      </c>
      <c r="B104" s="24">
        <v>2.32407016E8</v>
      </c>
      <c r="C104" s="24" t="s">
        <v>155</v>
      </c>
      <c r="D104" s="21" t="s">
        <v>156</v>
      </c>
      <c r="E104" s="24" t="s">
        <v>30</v>
      </c>
      <c r="F104" s="26"/>
      <c r="H104" s="22">
        <f t="shared" si="10"/>
        <v>16.0</v>
      </c>
      <c r="I104" s="24">
        <v>2.32407048E8</v>
      </c>
      <c r="J104" s="24" t="s">
        <v>157</v>
      </c>
      <c r="K104" s="21" t="s">
        <v>158</v>
      </c>
      <c r="L104" s="24" t="s">
        <v>30</v>
      </c>
      <c r="M104" s="25"/>
      <c r="O104" s="22">
        <f t="shared" si="11"/>
        <v>16.0</v>
      </c>
      <c r="P104" s="24">
        <v>2.32407077E8</v>
      </c>
      <c r="Q104" s="24" t="s">
        <v>167</v>
      </c>
      <c r="R104" s="21" t="s">
        <v>168</v>
      </c>
      <c r="S104" s="24" t="s">
        <v>35</v>
      </c>
      <c r="T104" s="26"/>
      <c r="V104" s="22">
        <f t="shared" si="12"/>
        <v>16.0</v>
      </c>
      <c r="W104" s="24">
        <v>2.32407108E8</v>
      </c>
      <c r="X104" s="24" t="s">
        <v>161</v>
      </c>
      <c r="Y104" s="21" t="s">
        <v>162</v>
      </c>
      <c r="Z104" s="24" t="s">
        <v>35</v>
      </c>
      <c r="AA104" s="26"/>
    </row>
    <row r="105" spans="8:8">
      <c r="A105" s="22">
        <f t="shared" si="9"/>
        <v>17.0</v>
      </c>
      <c r="B105" s="24">
        <v>2.32407017E8</v>
      </c>
      <c r="C105" s="24" t="s">
        <v>163</v>
      </c>
      <c r="D105" s="21" t="s">
        <v>164</v>
      </c>
      <c r="E105" s="24" t="s">
        <v>30</v>
      </c>
      <c r="F105" s="26"/>
      <c r="H105" s="22">
        <f t="shared" si="10"/>
        <v>17.0</v>
      </c>
      <c r="I105" s="24">
        <v>2.32407049E8</v>
      </c>
      <c r="J105" s="24" t="s">
        <v>165</v>
      </c>
      <c r="K105" s="21" t="s">
        <v>166</v>
      </c>
      <c r="L105" s="24" t="s">
        <v>30</v>
      </c>
      <c r="M105" s="25"/>
      <c r="O105" s="22">
        <f t="shared" si="11"/>
        <v>17.0</v>
      </c>
      <c r="P105" s="24">
        <v>2.32407079E8</v>
      </c>
      <c r="Q105" s="24" t="s">
        <v>175</v>
      </c>
      <c r="R105" s="21" t="s">
        <v>176</v>
      </c>
      <c r="S105" s="24" t="s">
        <v>35</v>
      </c>
      <c r="T105" s="26"/>
      <c r="V105" s="22">
        <f t="shared" si="12"/>
        <v>17.0</v>
      </c>
      <c r="W105" s="24">
        <v>2.32407109E8</v>
      </c>
      <c r="X105" s="24" t="s">
        <v>169</v>
      </c>
      <c r="Y105" s="21" t="s">
        <v>170</v>
      </c>
      <c r="Z105" s="24" t="s">
        <v>35</v>
      </c>
      <c r="AA105" s="26"/>
    </row>
    <row r="106" spans="8:8">
      <c r="A106" s="22">
        <f t="shared" si="9"/>
        <v>18.0</v>
      </c>
      <c r="B106" s="24">
        <v>2.32407019E8</v>
      </c>
      <c r="C106" s="24" t="s">
        <v>171</v>
      </c>
      <c r="D106" s="21" t="s">
        <v>172</v>
      </c>
      <c r="E106" s="24" t="s">
        <v>30</v>
      </c>
      <c r="F106" s="26"/>
      <c r="H106" s="22">
        <f t="shared" si="10"/>
        <v>18.0</v>
      </c>
      <c r="I106" s="24">
        <v>2.3240705E8</v>
      </c>
      <c r="J106" s="24" t="s">
        <v>173</v>
      </c>
      <c r="K106" s="21" t="s">
        <v>174</v>
      </c>
      <c r="L106" s="24" t="s">
        <v>30</v>
      </c>
      <c r="M106" s="25"/>
      <c r="O106" s="22">
        <f t="shared" si="11"/>
        <v>18.0</v>
      </c>
      <c r="P106" s="24">
        <v>2.3240708E8</v>
      </c>
      <c r="Q106" s="24" t="s">
        <v>184</v>
      </c>
      <c r="R106" s="21" t="s">
        <v>746</v>
      </c>
      <c r="S106" s="24" t="s">
        <v>35</v>
      </c>
      <c r="T106" s="26"/>
      <c r="V106" s="22">
        <f t="shared" si="12"/>
        <v>18.0</v>
      </c>
      <c r="W106" s="24">
        <v>2.3240711E8</v>
      </c>
      <c r="X106" s="24" t="s">
        <v>177</v>
      </c>
      <c r="Y106" s="21" t="s">
        <v>178</v>
      </c>
      <c r="Z106" s="24" t="s">
        <v>35</v>
      </c>
      <c r="AA106" s="26"/>
    </row>
    <row r="107" spans="8:8">
      <c r="A107" s="22">
        <f t="shared" si="9"/>
        <v>19.0</v>
      </c>
      <c r="B107" s="24">
        <v>2.3240702E8</v>
      </c>
      <c r="C107" s="24" t="s">
        <v>180</v>
      </c>
      <c r="D107" s="21" t="s">
        <v>181</v>
      </c>
      <c r="E107" s="24" t="s">
        <v>30</v>
      </c>
      <c r="F107" s="26"/>
      <c r="H107" s="22">
        <f t="shared" si="10"/>
        <v>19.0</v>
      </c>
      <c r="I107" s="24">
        <v>2.32407051E8</v>
      </c>
      <c r="J107" s="24" t="s">
        <v>182</v>
      </c>
      <c r="K107" s="21" t="s">
        <v>183</v>
      </c>
      <c r="L107" s="24" t="s">
        <v>30</v>
      </c>
      <c r="M107" s="25"/>
      <c r="O107" s="22">
        <f t="shared" si="11"/>
        <v>19.0</v>
      </c>
      <c r="P107" s="24">
        <v>2.32407081E8</v>
      </c>
      <c r="Q107" s="24" t="s">
        <v>191</v>
      </c>
      <c r="R107" s="21" t="s">
        <v>192</v>
      </c>
      <c r="S107" s="24" t="s">
        <v>35</v>
      </c>
      <c r="T107" s="26"/>
      <c r="V107" s="22">
        <f t="shared" si="12"/>
        <v>19.0</v>
      </c>
      <c r="W107" s="24">
        <v>2.32407111E8</v>
      </c>
      <c r="X107" s="24" t="s">
        <v>185</v>
      </c>
      <c r="Y107" s="21" t="s">
        <v>186</v>
      </c>
      <c r="Z107" s="24" t="s">
        <v>35</v>
      </c>
      <c r="AA107" s="26"/>
    </row>
    <row r="108" spans="8:8">
      <c r="A108" s="22">
        <f t="shared" si="9"/>
        <v>20.0</v>
      </c>
      <c r="B108" s="24">
        <v>2.32407021E8</v>
      </c>
      <c r="C108" s="24" t="s">
        <v>187</v>
      </c>
      <c r="D108" s="21" t="s">
        <v>188</v>
      </c>
      <c r="E108" s="24" t="s">
        <v>30</v>
      </c>
      <c r="F108" s="26"/>
      <c r="H108" s="22">
        <f t="shared" si="10"/>
        <v>20.0</v>
      </c>
      <c r="I108" s="24">
        <v>2.32407052E8</v>
      </c>
      <c r="J108" s="24" t="s">
        <v>189</v>
      </c>
      <c r="K108" s="21" t="s">
        <v>190</v>
      </c>
      <c r="L108" s="24" t="s">
        <v>30</v>
      </c>
      <c r="M108" s="25"/>
      <c r="O108" s="22">
        <f t="shared" si="11"/>
        <v>20.0</v>
      </c>
      <c r="P108" s="24">
        <v>2.32407082E8</v>
      </c>
      <c r="Q108" s="24" t="s">
        <v>199</v>
      </c>
      <c r="R108" s="21" t="s">
        <v>200</v>
      </c>
      <c r="S108" s="24" t="s">
        <v>35</v>
      </c>
      <c r="T108" s="26"/>
      <c r="V108" s="22">
        <f t="shared" si="12"/>
        <v>20.0</v>
      </c>
      <c r="W108" s="24">
        <v>2.32407112E8</v>
      </c>
      <c r="X108" s="24" t="s">
        <v>193</v>
      </c>
      <c r="Y108" s="21" t="s">
        <v>194</v>
      </c>
      <c r="Z108" s="24" t="s">
        <v>35</v>
      </c>
      <c r="AA108" s="26"/>
    </row>
    <row r="109" spans="8:8">
      <c r="A109" s="22">
        <f t="shared" si="9"/>
        <v>21.0</v>
      </c>
      <c r="B109" s="24">
        <v>2.32407022E8</v>
      </c>
      <c r="C109" s="24" t="s">
        <v>195</v>
      </c>
      <c r="D109" s="21" t="s">
        <v>196</v>
      </c>
      <c r="E109" s="24" t="s">
        <v>30</v>
      </c>
      <c r="F109" s="26"/>
      <c r="H109" s="22">
        <f t="shared" si="10"/>
        <v>21.0</v>
      </c>
      <c r="I109" s="24">
        <v>2.32407053E8</v>
      </c>
      <c r="J109" s="24" t="s">
        <v>197</v>
      </c>
      <c r="K109" s="21" t="s">
        <v>198</v>
      </c>
      <c r="L109" s="24" t="s">
        <v>30</v>
      </c>
      <c r="M109" s="25"/>
      <c r="O109" s="22">
        <f t="shared" si="11"/>
        <v>21.0</v>
      </c>
      <c r="P109" s="24">
        <v>2.32407083E8</v>
      </c>
      <c r="Q109" s="24" t="s">
        <v>207</v>
      </c>
      <c r="R109" s="21" t="s">
        <v>208</v>
      </c>
      <c r="S109" s="24" t="s">
        <v>35</v>
      </c>
      <c r="T109" s="26"/>
      <c r="V109" s="22">
        <f t="shared" si="12"/>
        <v>21.0</v>
      </c>
      <c r="W109" s="24">
        <v>2.32407113E8</v>
      </c>
      <c r="X109" s="24" t="s">
        <v>201</v>
      </c>
      <c r="Y109" s="21" t="s">
        <v>202</v>
      </c>
      <c r="Z109" s="24" t="s">
        <v>35</v>
      </c>
      <c r="AA109" s="26"/>
    </row>
    <row r="110" spans="8:8">
      <c r="A110" s="22">
        <f t="shared" si="9"/>
        <v>22.0</v>
      </c>
      <c r="B110" s="24">
        <v>2.32407023E8</v>
      </c>
      <c r="C110" s="24" t="s">
        <v>203</v>
      </c>
      <c r="D110" s="21" t="s">
        <v>204</v>
      </c>
      <c r="E110" s="24" t="s">
        <v>30</v>
      </c>
      <c r="F110" s="26"/>
      <c r="H110" s="22">
        <f t="shared" si="10"/>
        <v>22.0</v>
      </c>
      <c r="I110" s="24">
        <v>2.32407054E8</v>
      </c>
      <c r="J110" s="24" t="s">
        <v>205</v>
      </c>
      <c r="K110" s="21" t="s">
        <v>206</v>
      </c>
      <c r="L110" s="24" t="s">
        <v>30</v>
      </c>
      <c r="M110" s="25"/>
      <c r="O110" s="22">
        <f t="shared" si="11"/>
        <v>22.0</v>
      </c>
      <c r="P110" s="24">
        <v>2.32407084E8</v>
      </c>
      <c r="Q110" s="24" t="s">
        <v>215</v>
      </c>
      <c r="R110" s="21" t="s">
        <v>216</v>
      </c>
      <c r="S110" s="24" t="s">
        <v>35</v>
      </c>
      <c r="T110" s="26"/>
      <c r="V110" s="22">
        <f t="shared" si="12"/>
        <v>22.0</v>
      </c>
      <c r="W110" s="24">
        <v>2.32407114E8</v>
      </c>
      <c r="X110" s="24" t="s">
        <v>209</v>
      </c>
      <c r="Y110" s="21" t="s">
        <v>210</v>
      </c>
      <c r="Z110" s="24" t="s">
        <v>35</v>
      </c>
      <c r="AA110" s="26"/>
    </row>
    <row r="111" spans="8:8">
      <c r="A111" s="22">
        <f t="shared" si="9"/>
        <v>23.0</v>
      </c>
      <c r="B111" s="24">
        <v>2.32407024E8</v>
      </c>
      <c r="C111" s="24" t="s">
        <v>211</v>
      </c>
      <c r="D111" s="21" t="s">
        <v>212</v>
      </c>
      <c r="E111" s="24" t="s">
        <v>30</v>
      </c>
      <c r="F111" s="26"/>
      <c r="H111" s="22">
        <f t="shared" si="10"/>
        <v>23.0</v>
      </c>
      <c r="I111" s="24">
        <v>2.32407055E8</v>
      </c>
      <c r="J111" s="24" t="s">
        <v>213</v>
      </c>
      <c r="K111" s="21" t="s">
        <v>214</v>
      </c>
      <c r="L111" s="24" t="s">
        <v>30</v>
      </c>
      <c r="M111" s="25"/>
      <c r="O111" s="22">
        <f t="shared" si="11"/>
        <v>23.0</v>
      </c>
      <c r="P111" s="24">
        <v>2.32407085E8</v>
      </c>
      <c r="Q111" s="24" t="s">
        <v>223</v>
      </c>
      <c r="R111" s="21" t="s">
        <v>224</v>
      </c>
      <c r="S111" s="24" t="s">
        <v>35</v>
      </c>
      <c r="T111" s="26"/>
      <c r="V111" s="22">
        <f t="shared" si="12"/>
        <v>23.0</v>
      </c>
      <c r="W111" s="24">
        <v>2.32407115E8</v>
      </c>
      <c r="X111" s="24" t="s">
        <v>217</v>
      </c>
      <c r="Y111" s="21" t="s">
        <v>218</v>
      </c>
      <c r="Z111" s="24" t="s">
        <v>35</v>
      </c>
      <c r="AA111" s="26"/>
    </row>
    <row r="112" spans="8:8">
      <c r="A112" s="22">
        <f t="shared" si="9"/>
        <v>24.0</v>
      </c>
      <c r="B112" s="24">
        <v>2.32407025E8</v>
      </c>
      <c r="C112" s="24" t="s">
        <v>219</v>
      </c>
      <c r="D112" s="21" t="s">
        <v>220</v>
      </c>
      <c r="E112" s="24" t="s">
        <v>30</v>
      </c>
      <c r="F112" s="26"/>
      <c r="H112" s="22">
        <f t="shared" si="10"/>
        <v>24.0</v>
      </c>
      <c r="I112" s="24">
        <v>2.32407056E8</v>
      </c>
      <c r="J112" s="24" t="s">
        <v>221</v>
      </c>
      <c r="K112" s="21" t="s">
        <v>222</v>
      </c>
      <c r="L112" s="24" t="s">
        <v>30</v>
      </c>
      <c r="M112" s="25"/>
      <c r="O112" s="22">
        <f t="shared" si="11"/>
        <v>24.0</v>
      </c>
      <c r="P112" s="24">
        <v>2.32407086E8</v>
      </c>
      <c r="Q112" s="24" t="s">
        <v>229</v>
      </c>
      <c r="R112" s="21" t="s">
        <v>230</v>
      </c>
      <c r="S112" s="24" t="s">
        <v>35</v>
      </c>
      <c r="T112" s="26"/>
      <c r="V112" s="22">
        <f t="shared" si="12"/>
        <v>24.0</v>
      </c>
      <c r="W112" s="24">
        <v>2.32407118E8</v>
      </c>
      <c r="X112" s="24" t="s">
        <v>747</v>
      </c>
      <c r="Y112" s="21" t="s">
        <v>231</v>
      </c>
      <c r="Z112" s="24" t="s">
        <v>35</v>
      </c>
      <c r="AA112" s="26"/>
    </row>
    <row r="113" spans="8:8">
      <c r="A113" s="22">
        <f t="shared" si="9"/>
        <v>25.0</v>
      </c>
      <c r="B113" s="24">
        <v>2.32407026E8</v>
      </c>
      <c r="C113" s="24" t="s">
        <v>225</v>
      </c>
      <c r="D113" s="21" t="s">
        <v>226</v>
      </c>
      <c r="E113" s="24" t="s">
        <v>30</v>
      </c>
      <c r="F113" s="26"/>
      <c r="H113" s="22">
        <f t="shared" si="10"/>
        <v>25.0</v>
      </c>
      <c r="I113" s="24">
        <v>2.32407057E8</v>
      </c>
      <c r="J113" s="24" t="s">
        <v>227</v>
      </c>
      <c r="K113" s="21" t="s">
        <v>228</v>
      </c>
      <c r="L113" s="24" t="s">
        <v>30</v>
      </c>
      <c r="M113" s="25"/>
      <c r="O113" s="22">
        <f t="shared" si="11"/>
        <v>25.0</v>
      </c>
      <c r="P113" s="24">
        <v>2.32407087E8</v>
      </c>
      <c r="Q113" s="24" t="s">
        <v>236</v>
      </c>
      <c r="R113" s="21" t="s">
        <v>237</v>
      </c>
      <c r="S113" s="24" t="s">
        <v>35</v>
      </c>
      <c r="T113" s="26"/>
      <c r="V113" s="22">
        <f t="shared" si="12"/>
        <v>25.0</v>
      </c>
      <c r="W113" s="24">
        <v>2.3240712E8</v>
      </c>
      <c r="X113" s="24" t="s">
        <v>286</v>
      </c>
      <c r="Y113" s="21" t="s">
        <v>244</v>
      </c>
      <c r="Z113" s="24" t="s">
        <v>35</v>
      </c>
      <c r="AA113" s="26"/>
    </row>
    <row r="114" spans="8:8">
      <c r="A114" s="22">
        <f t="shared" si="9"/>
        <v>26.0</v>
      </c>
      <c r="B114" s="24">
        <v>2.32407027E8</v>
      </c>
      <c r="C114" s="24" t="s">
        <v>232</v>
      </c>
      <c r="D114" s="21" t="s">
        <v>233</v>
      </c>
      <c r="E114" s="24" t="s">
        <v>30</v>
      </c>
      <c r="F114" s="26"/>
      <c r="H114" s="22">
        <f t="shared" si="10"/>
        <v>26.0</v>
      </c>
      <c r="I114" s="24">
        <v>2.32407058E8</v>
      </c>
      <c r="J114" s="24" t="s">
        <v>234</v>
      </c>
      <c r="K114" s="21" t="s">
        <v>235</v>
      </c>
      <c r="L114" s="24" t="s">
        <v>30</v>
      </c>
      <c r="M114" s="25"/>
      <c r="O114" s="22">
        <f t="shared" si="11"/>
        <v>26.0</v>
      </c>
      <c r="P114" s="24">
        <v>2.32407088E8</v>
      </c>
      <c r="Q114" s="24" t="s">
        <v>242</v>
      </c>
      <c r="R114" s="21" t="s">
        <v>243</v>
      </c>
      <c r="S114" s="24" t="s">
        <v>35</v>
      </c>
      <c r="T114" s="26"/>
      <c r="V114" s="22">
        <f t="shared" si="12"/>
        <v>26.0</v>
      </c>
      <c r="W114" s="24">
        <v>2.42508108E8</v>
      </c>
      <c r="X114" s="24" t="s">
        <v>748</v>
      </c>
      <c r="Y114" s="21" t="s">
        <v>749</v>
      </c>
      <c r="Z114" s="24" t="s">
        <v>35</v>
      </c>
      <c r="AA114" s="26"/>
    </row>
    <row r="115" spans="8:8">
      <c r="A115" s="22">
        <f t="shared" si="9"/>
        <v>27.0</v>
      </c>
      <c r="B115" s="24">
        <v>2.32407028E8</v>
      </c>
      <c r="C115" s="24" t="s">
        <v>238</v>
      </c>
      <c r="D115" s="21" t="s">
        <v>239</v>
      </c>
      <c r="E115" s="24" t="s">
        <v>30</v>
      </c>
      <c r="F115" s="26"/>
      <c r="H115" s="22">
        <f t="shared" si="10"/>
        <v>27.0</v>
      </c>
      <c r="I115" s="24">
        <v>2.32407059E8</v>
      </c>
      <c r="J115" s="24" t="s">
        <v>240</v>
      </c>
      <c r="K115" s="21" t="s">
        <v>241</v>
      </c>
      <c r="L115" s="24" t="s">
        <v>30</v>
      </c>
      <c r="M115" s="25"/>
      <c r="O115" s="22">
        <f t="shared" si="11"/>
        <v>27.0</v>
      </c>
      <c r="P115" s="24">
        <v>2.32407089E8</v>
      </c>
      <c r="Q115" s="24" t="s">
        <v>249</v>
      </c>
      <c r="R115" s="21" t="s">
        <v>250</v>
      </c>
      <c r="S115" s="24" t="s">
        <v>35</v>
      </c>
      <c r="T115" s="26"/>
      <c r="V115" s="22">
        <f t="shared" si="12"/>
        <v>27.0</v>
      </c>
      <c r="W115" s="24">
        <v>2.42508113E8</v>
      </c>
      <c r="X115" s="24" t="s">
        <v>750</v>
      </c>
      <c r="Y115" s="21" t="s">
        <v>751</v>
      </c>
      <c r="Z115" s="24" t="s">
        <v>35</v>
      </c>
      <c r="AA115" s="26"/>
    </row>
    <row r="116" spans="8:8">
      <c r="A116" s="22">
        <f t="shared" si="9"/>
        <v>28.0</v>
      </c>
      <c r="B116" s="24">
        <v>2.32407029E8</v>
      </c>
      <c r="C116" s="24" t="s">
        <v>245</v>
      </c>
      <c r="D116" s="21" t="s">
        <v>246</v>
      </c>
      <c r="E116" s="24" t="s">
        <v>30</v>
      </c>
      <c r="F116" s="26"/>
      <c r="H116" s="22">
        <f t="shared" si="10"/>
        <v>28.0</v>
      </c>
      <c r="I116" s="24">
        <v>2.3240706E8</v>
      </c>
      <c r="J116" s="24" t="s">
        <v>247</v>
      </c>
      <c r="K116" s="21" t="s">
        <v>248</v>
      </c>
      <c r="L116" s="24" t="s">
        <v>30</v>
      </c>
      <c r="M116" s="25"/>
      <c r="O116" s="22">
        <f t="shared" si="11"/>
        <v>28.0</v>
      </c>
      <c r="P116" s="24">
        <v>2.3240709E8</v>
      </c>
      <c r="Q116" s="24" t="s">
        <v>254</v>
      </c>
      <c r="R116" s="21" t="s">
        <v>255</v>
      </c>
      <c r="S116" s="24" t="s">
        <v>35</v>
      </c>
      <c r="T116" s="26"/>
      <c r="V116" s="22" t="str">
        <f t="shared" si="12"/>
        <v/>
      </c>
      <c r="W116" s="24"/>
      <c r="X116" s="24"/>
      <c r="Y116" s="21"/>
      <c r="Z116" s="24"/>
      <c r="AA116" s="26"/>
    </row>
    <row r="117" spans="8:8">
      <c r="A117" s="22">
        <f t="shared" si="9"/>
        <v>29.0</v>
      </c>
      <c r="B117" s="24">
        <v>2.3240703E8</v>
      </c>
      <c r="C117" s="24" t="s">
        <v>252</v>
      </c>
      <c r="D117" s="21" t="s">
        <v>253</v>
      </c>
      <c r="E117" s="24" t="s">
        <v>30</v>
      </c>
      <c r="F117" s="26"/>
      <c r="H117" s="22" t="str">
        <f t="shared" si="10"/>
        <v/>
      </c>
      <c r="I117" s="16"/>
      <c r="J117" s="23"/>
      <c r="K117" s="26"/>
      <c r="L117" s="16"/>
      <c r="M117" s="25"/>
      <c r="O117" s="22">
        <f t="shared" si="11"/>
        <v>29.0</v>
      </c>
      <c r="P117" s="24">
        <v>2.32407091E8</v>
      </c>
      <c r="Q117" s="24" t="s">
        <v>258</v>
      </c>
      <c r="R117" s="21" t="s">
        <v>259</v>
      </c>
      <c r="S117" s="24" t="s">
        <v>35</v>
      </c>
      <c r="T117" s="26"/>
      <c r="V117" s="22" t="str">
        <f t="shared" si="12"/>
        <v/>
      </c>
      <c r="W117" s="24"/>
      <c r="X117" s="24"/>
      <c r="Y117" s="21"/>
      <c r="Z117" s="24"/>
      <c r="AA117" s="26"/>
    </row>
    <row r="118" spans="8:8">
      <c r="A118" s="22">
        <f t="shared" si="9"/>
        <v>30.0</v>
      </c>
      <c r="B118" s="24">
        <v>2.32407031E8</v>
      </c>
      <c r="C118" s="24" t="s">
        <v>256</v>
      </c>
      <c r="D118" s="21" t="s">
        <v>257</v>
      </c>
      <c r="E118" s="24" t="s">
        <v>30</v>
      </c>
      <c r="F118" s="26"/>
      <c r="H118" s="22" t="str">
        <f t="shared" si="10"/>
        <v/>
      </c>
      <c r="I118" s="16"/>
      <c r="J118" s="23"/>
      <c r="K118" s="26"/>
      <c r="L118" s="16"/>
      <c r="M118" s="25"/>
      <c r="O118" s="22">
        <f t="shared" si="11"/>
        <v>30.0</v>
      </c>
      <c r="P118" s="24">
        <v>2.32407092E8</v>
      </c>
      <c r="Q118" s="24" t="s">
        <v>260</v>
      </c>
      <c r="R118" s="21" t="s">
        <v>261</v>
      </c>
      <c r="S118" s="24" t="s">
        <v>35</v>
      </c>
      <c r="T118" s="26"/>
      <c r="V118" s="22" t="str">
        <f t="shared" si="12"/>
        <v/>
      </c>
      <c r="W118" s="24"/>
      <c r="X118" s="24"/>
      <c r="Y118" s="21"/>
      <c r="Z118" s="24"/>
      <c r="AA118" s="26"/>
    </row>
    <row r="119" spans="8:8">
      <c r="A119" s="22">
        <f t="shared" si="9"/>
        <v>31.0</v>
      </c>
      <c r="B119" s="24">
        <v>2.4250811E8</v>
      </c>
      <c r="C119" s="24" t="s">
        <v>752</v>
      </c>
      <c r="D119" s="21" t="s">
        <v>753</v>
      </c>
      <c r="E119" s="24" t="s">
        <v>30</v>
      </c>
      <c r="F119" s="26"/>
      <c r="H119" s="22" t="str">
        <f t="shared" si="10"/>
        <v/>
      </c>
      <c r="I119" s="16"/>
      <c r="J119" s="16"/>
      <c r="K119" s="26"/>
      <c r="L119" s="16"/>
      <c r="M119" s="25"/>
      <c r="O119" s="22" t="str">
        <f t="shared" si="11"/>
        <v/>
      </c>
      <c r="P119" s="24"/>
      <c r="Q119" s="24"/>
      <c r="R119" s="21"/>
      <c r="S119" s="24"/>
      <c r="T119" s="26"/>
      <c r="V119" s="22" t="str">
        <f t="shared" si="12"/>
        <v/>
      </c>
      <c r="W119" s="24"/>
      <c r="X119" s="24"/>
      <c r="Y119" s="21"/>
      <c r="Z119" s="24"/>
      <c r="AA119" s="26"/>
    </row>
    <row r="120" spans="8:8">
      <c r="A120" s="22" t="str">
        <f t="shared" si="9"/>
        <v/>
      </c>
      <c r="B120" s="24"/>
      <c r="C120" s="24"/>
      <c r="D120" s="21"/>
      <c r="E120" s="24"/>
      <c r="F120" s="26"/>
      <c r="H120" s="22" t="str">
        <f t="shared" si="10"/>
        <v/>
      </c>
      <c r="I120" s="16"/>
      <c r="J120" s="16"/>
      <c r="K120" s="26" t="s">
        <v>251</v>
      </c>
      <c r="L120" s="26"/>
      <c r="M120" s="25"/>
      <c r="O120" s="22" t="str">
        <f t="shared" si="11"/>
        <v/>
      </c>
      <c r="P120" s="24"/>
      <c r="Q120" s="24"/>
      <c r="R120" s="21"/>
      <c r="S120" s="24"/>
      <c r="T120" s="26"/>
      <c r="V120" s="22" t="str">
        <f t="shared" si="12"/>
        <v/>
      </c>
      <c r="W120" s="24"/>
      <c r="X120" s="24"/>
      <c r="Y120" s="21"/>
      <c r="Z120" s="24"/>
      <c r="AA120" s="26"/>
    </row>
    <row r="121" spans="8:8">
      <c r="A121" s="22" t="str">
        <f t="shared" si="9"/>
        <v/>
      </c>
      <c r="B121" s="16"/>
      <c r="C121" s="16"/>
      <c r="D121" s="26"/>
      <c r="E121" s="16"/>
      <c r="F121" s="26"/>
      <c r="H121" s="22" t="str">
        <f t="shared" si="10"/>
        <v/>
      </c>
      <c r="I121" s="16"/>
      <c r="J121" s="16"/>
      <c r="K121" s="26" t="s">
        <v>251</v>
      </c>
      <c r="L121" s="26"/>
      <c r="M121" s="25"/>
      <c r="O121" s="22" t="str">
        <f t="shared" si="11"/>
        <v/>
      </c>
      <c r="P121" s="16"/>
      <c r="Q121" s="26"/>
      <c r="R121" s="26" t="s">
        <v>251</v>
      </c>
      <c r="S121" s="16"/>
      <c r="T121" s="26"/>
      <c r="V121" s="22" t="str">
        <f t="shared" si="12"/>
        <v/>
      </c>
      <c r="W121" s="16"/>
      <c r="X121" s="26"/>
      <c r="Y121" s="26" t="s">
        <v>251</v>
      </c>
      <c r="Z121" s="16"/>
      <c r="AA121" s="26"/>
    </row>
    <row r="122" spans="8:8">
      <c r="H122" s="2"/>
      <c r="L122" s="2"/>
      <c r="M122" s="54"/>
      <c r="X122" s="1"/>
    </row>
    <row r="123" spans="8:8">
      <c r="W123" s="31" t="s">
        <v>264</v>
      </c>
      <c r="X123" s="31"/>
      <c r="Y123" s="31"/>
      <c r="Z123" s="31"/>
      <c r="AA123" s="31"/>
    </row>
    <row r="124" spans="8:8">
      <c r="B124" s="48" t="s">
        <v>262</v>
      </c>
      <c r="C124" s="49"/>
      <c r="D124" s="44">
        <f>COUNTIF(E89:E121,"P")</f>
        <v>31.0</v>
      </c>
      <c r="I124" s="48" t="s">
        <v>262</v>
      </c>
      <c r="J124" s="49"/>
      <c r="K124" s="26">
        <f>COUNTIF(L89:L121,"P")</f>
        <v>28.0</v>
      </c>
      <c r="P124" s="48" t="s">
        <v>262</v>
      </c>
      <c r="Q124" s="49"/>
      <c r="R124" s="26">
        <f>COUNTIF(S88:S120,"P")</f>
        <v>0.0</v>
      </c>
      <c r="W124" s="55" t="s">
        <v>262</v>
      </c>
      <c r="X124" s="56"/>
      <c r="Y124" s="57">
        <f>COUNTIF(Z89:Z121,"P")</f>
        <v>0.0</v>
      </c>
      <c r="Z124" s="58">
        <f>D124+K124+Y124+R124</f>
        <v>59.0</v>
      </c>
      <c r="AA124" s="58"/>
    </row>
    <row r="125" spans="8:8">
      <c r="B125" s="48" t="s">
        <v>263</v>
      </c>
      <c r="C125" s="49"/>
      <c r="D125" s="44">
        <f>COUNTIF(E89:E121,"L")</f>
        <v>0.0</v>
      </c>
      <c r="I125" s="48" t="s">
        <v>263</v>
      </c>
      <c r="J125" s="49"/>
      <c r="K125" s="26">
        <f>COUNTIF(L89:L121,"L")</f>
        <v>0.0</v>
      </c>
      <c r="P125" s="48" t="s">
        <v>263</v>
      </c>
      <c r="Q125" s="49"/>
      <c r="R125" s="26">
        <f>COUNTIF(S88:S120,"L")</f>
        <v>30.0</v>
      </c>
      <c r="W125" s="48" t="s">
        <v>263</v>
      </c>
      <c r="X125" s="49"/>
      <c r="Y125" s="26">
        <f>COUNTIF(Z89:Z121,"L")</f>
        <v>27.0</v>
      </c>
      <c r="Z125" s="16">
        <f>D125+K125+Y125+R125</f>
        <v>57.0</v>
      </c>
      <c r="AA125" s="16"/>
    </row>
    <row r="126" spans="8:8">
      <c r="B126" s="48" t="s">
        <v>23</v>
      </c>
      <c r="C126" s="49"/>
      <c r="D126" s="44">
        <f>SUM(D124:D125)</f>
        <v>31.0</v>
      </c>
      <c r="I126" s="48" t="s">
        <v>23</v>
      </c>
      <c r="J126" s="49"/>
      <c r="K126" s="26">
        <f>SUM(K124:K125)</f>
        <v>28.0</v>
      </c>
      <c r="P126" s="48" t="s">
        <v>23</v>
      </c>
      <c r="Q126" s="49"/>
      <c r="R126" s="26">
        <f>SUM(R124:R125)</f>
        <v>30.0</v>
      </c>
      <c r="W126" s="48" t="s">
        <v>23</v>
      </c>
      <c r="X126" s="49"/>
      <c r="Y126" s="26">
        <f>SUM(Y124:Y125)</f>
        <v>27.0</v>
      </c>
      <c r="Z126" s="31">
        <f>D126+K126+Y126+R126</f>
        <v>116.0</v>
      </c>
      <c r="AA126" s="31"/>
    </row>
    <row r="138" spans="8:8">
      <c r="K138" s="1" t="s">
        <v>754</v>
      </c>
    </row>
  </sheetData>
  <mergeCells count="74">
    <mergeCell ref="W123:AA123"/>
    <mergeCell ref="I83:J83"/>
    <mergeCell ref="B126:C126"/>
    <mergeCell ref="AO10:AQ10"/>
    <mergeCell ref="Z126:AA126"/>
    <mergeCell ref="W125:X125"/>
    <mergeCell ref="AG3:AM3"/>
    <mergeCell ref="P83:Q83"/>
    <mergeCell ref="A3:F3"/>
    <mergeCell ref="O2:T2"/>
    <mergeCell ref="A1:F1"/>
    <mergeCell ref="H1:M1"/>
    <mergeCell ref="O1:T1"/>
    <mergeCell ref="AK4:AM4"/>
    <mergeCell ref="AG24:AI24"/>
    <mergeCell ref="O3:T3"/>
    <mergeCell ref="AG12:AH12"/>
    <mergeCell ref="AG10:AI10"/>
    <mergeCell ref="AG19:AH19"/>
    <mergeCell ref="W126:X126"/>
    <mergeCell ref="I42:J42"/>
    <mergeCell ref="B83:C83"/>
    <mergeCell ref="W44:X44"/>
    <mergeCell ref="AG2:AM2"/>
    <mergeCell ref="P44:Q44"/>
    <mergeCell ref="A2:F2"/>
    <mergeCell ref="V1:AA1"/>
    <mergeCell ref="B124:C124"/>
    <mergeCell ref="S85:T85"/>
    <mergeCell ref="I84:J84"/>
    <mergeCell ref="I125:J125"/>
    <mergeCell ref="I43:J43"/>
    <mergeCell ref="AK27:AM27"/>
    <mergeCell ref="AK34:AM34"/>
    <mergeCell ref="AK33:AM33"/>
    <mergeCell ref="AK32:AM32"/>
    <mergeCell ref="AK31:AM31"/>
    <mergeCell ref="B42:C42"/>
    <mergeCell ref="I126:J126"/>
    <mergeCell ref="W42:X42"/>
    <mergeCell ref="P42:Q42"/>
    <mergeCell ref="I44:J44"/>
    <mergeCell ref="W85:X85"/>
    <mergeCell ref="I124:J124"/>
    <mergeCell ref="P84:Q84"/>
    <mergeCell ref="P124:Q124"/>
    <mergeCell ref="P85:Q85"/>
    <mergeCell ref="W124:X124"/>
    <mergeCell ref="Z85:AA85"/>
    <mergeCell ref="W43:X43"/>
    <mergeCell ref="P125:Q125"/>
    <mergeCell ref="I85:J85"/>
    <mergeCell ref="W83:X83"/>
    <mergeCell ref="H3:M3"/>
    <mergeCell ref="B43:C43"/>
    <mergeCell ref="V3:AA3"/>
    <mergeCell ref="V2:AA2"/>
    <mergeCell ref="AK35:AM35"/>
    <mergeCell ref="Z44:AA44"/>
    <mergeCell ref="AG5:AH5"/>
    <mergeCell ref="AK30:AM30"/>
    <mergeCell ref="AK29:AM29"/>
    <mergeCell ref="AK28:AM28"/>
    <mergeCell ref="AG26:AJ26"/>
    <mergeCell ref="AG17:AI17"/>
    <mergeCell ref="B125:C125"/>
    <mergeCell ref="W84:X84"/>
    <mergeCell ref="B44:C44"/>
    <mergeCell ref="P126:Q126"/>
    <mergeCell ref="B84:C84"/>
    <mergeCell ref="B85:C85"/>
    <mergeCell ref="AG1:AM1"/>
    <mergeCell ref="P43:Q43"/>
    <mergeCell ref="H2:M2"/>
  </mergeCells>
  <printOptions horizontalCentered="1"/>
  <pageMargins left="0.7086614173228347" right="0.7086614173228347" top="0.7480314960629921" bottom="0.7480314960629921" header="0.31496062992125984" footer="0.31496062992125984"/>
  <pageSetup paperSize="10000" fitToWidth="0" fitToHeight="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PC-JANA</dc:creator>
  <cp:lastModifiedBy>PC-JANA</cp:lastModifiedBy>
  <dcterms:created xsi:type="dcterms:W3CDTF">2023-12-07T16:54:05Z</dcterms:created>
  <dcterms:modified xsi:type="dcterms:W3CDTF">2026-01-11T12:27:56Z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9457bb03ec74461abfa2c567dc3529cf</vt:lpwstr>
  </property>
</Properties>
</file>